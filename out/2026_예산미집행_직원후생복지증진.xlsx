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 인수인계\3. 행감자료\2026\"/>
    </mc:Choice>
  </mc:AlternateContent>
  <bookViews>
    <workbookView xWindow="0" yWindow="0" windowWidth="27285" windowHeight="8595"/>
  </bookViews>
  <sheets>
    <sheet name="10월 집행액 기준" sheetId="1" r:id="rId1"/>
    <sheet name="12월 예상집행액" sheetId="3" r:id="rId2"/>
  </sheets>
  <definedNames>
    <definedName name="_xlnm._FilterDatabase" localSheetId="0" hidden="1">'10월 집행액 기준'!$A$5:$K$64</definedName>
    <definedName name="_xlnm._FilterDatabase" localSheetId="1" hidden="1">'12월 예상집행액'!$A$4:$K$60</definedName>
    <definedName name="_xlnm.Print_Area" localSheetId="0">'10월 집행액 기준'!$A$1:$K$58</definedName>
    <definedName name="_xlnm.Print_Area" localSheetId="1">'12월 예상집행액'!$A$1:$K$60</definedName>
  </definedName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H63" i="1"/>
  <c r="H30" i="1"/>
  <c r="H62" i="1" l="1"/>
  <c r="H19" i="1"/>
  <c r="H64" i="3" l="1"/>
  <c r="H63" i="3" s="1"/>
  <c r="F64" i="3"/>
  <c r="F63" i="3" s="1"/>
  <c r="E64" i="3"/>
  <c r="E63" i="3" s="1"/>
  <c r="E62" i="3" l="1"/>
  <c r="F62" i="3"/>
  <c r="H62" i="3"/>
  <c r="I61" i="3" l="1"/>
  <c r="G60" i="3"/>
  <c r="I60" i="3" s="1"/>
  <c r="J60" i="3" s="1"/>
  <c r="G59" i="3"/>
  <c r="G58" i="3"/>
  <c r="I58" i="3" s="1"/>
  <c r="J58" i="3" s="1"/>
  <c r="G57" i="3"/>
  <c r="I57" i="3" s="1"/>
  <c r="J57" i="3" s="1"/>
  <c r="G56" i="3"/>
  <c r="I56" i="3" s="1"/>
  <c r="J56" i="3" s="1"/>
  <c r="G55" i="3"/>
  <c r="G54" i="3"/>
  <c r="I54" i="3" s="1"/>
  <c r="J54" i="3" s="1"/>
  <c r="G53" i="3"/>
  <c r="G52" i="3"/>
  <c r="I52" i="3" s="1"/>
  <c r="J52" i="3" s="1"/>
  <c r="G51" i="3"/>
  <c r="G50" i="3"/>
  <c r="I50" i="3" s="1"/>
  <c r="J50" i="3" s="1"/>
  <c r="G49" i="3"/>
  <c r="G48" i="3"/>
  <c r="I48" i="3" s="1"/>
  <c r="J48" i="3" s="1"/>
  <c r="G47" i="3"/>
  <c r="G46" i="3"/>
  <c r="I46" i="3" s="1"/>
  <c r="J46" i="3" s="1"/>
  <c r="G45" i="3"/>
  <c r="G44" i="3"/>
  <c r="I44" i="3" s="1"/>
  <c r="J44" i="3" s="1"/>
  <c r="G43" i="3"/>
  <c r="I43" i="3" s="1"/>
  <c r="J43" i="3" s="1"/>
  <c r="G42" i="3"/>
  <c r="G41" i="3"/>
  <c r="I41" i="3" s="1"/>
  <c r="J41" i="3" s="1"/>
  <c r="G40" i="3"/>
  <c r="I40" i="3" s="1"/>
  <c r="J40" i="3" s="1"/>
  <c r="G39" i="3"/>
  <c r="G38" i="3"/>
  <c r="I38" i="3" s="1"/>
  <c r="J38" i="3" s="1"/>
  <c r="G37" i="3"/>
  <c r="I37" i="3" s="1"/>
  <c r="J37" i="3" s="1"/>
  <c r="G36" i="3"/>
  <c r="G35" i="3"/>
  <c r="I35" i="3" s="1"/>
  <c r="J35" i="3" s="1"/>
  <c r="G34" i="3"/>
  <c r="I34" i="3" s="1"/>
  <c r="J34" i="3" s="1"/>
  <c r="G33" i="3"/>
  <c r="G32" i="3"/>
  <c r="G31" i="3"/>
  <c r="I31" i="3" s="1"/>
  <c r="J31" i="3" s="1"/>
  <c r="G30" i="3"/>
  <c r="I30" i="3" s="1"/>
  <c r="J30" i="3" s="1"/>
  <c r="G29" i="3"/>
  <c r="G28" i="3"/>
  <c r="I28" i="3" s="1"/>
  <c r="J28" i="3" s="1"/>
  <c r="G27" i="3"/>
  <c r="I27" i="3" s="1"/>
  <c r="J27" i="3" s="1"/>
  <c r="G26" i="3"/>
  <c r="G25" i="3"/>
  <c r="I25" i="3" s="1"/>
  <c r="J25" i="3" s="1"/>
  <c r="G24" i="3"/>
  <c r="G23" i="3"/>
  <c r="I23" i="3" s="1"/>
  <c r="J23" i="3" s="1"/>
  <c r="G22" i="3"/>
  <c r="I22" i="3" s="1"/>
  <c r="J22" i="3" s="1"/>
  <c r="G21" i="3"/>
  <c r="G20" i="3"/>
  <c r="I20" i="3" s="1"/>
  <c r="J20" i="3" s="1"/>
  <c r="G19" i="3"/>
  <c r="I19" i="3" s="1"/>
  <c r="J19" i="3" s="1"/>
  <c r="G18" i="3"/>
  <c r="G17" i="3"/>
  <c r="I17" i="3" s="1"/>
  <c r="J17" i="3" s="1"/>
  <c r="G16" i="3"/>
  <c r="I16" i="3" s="1"/>
  <c r="J16" i="3" s="1"/>
  <c r="G15" i="3"/>
  <c r="G14" i="3"/>
  <c r="I14" i="3" s="1"/>
  <c r="J14" i="3" s="1"/>
  <c r="G13" i="3"/>
  <c r="I13" i="3" s="1"/>
  <c r="J13" i="3" s="1"/>
  <c r="G12" i="3"/>
  <c r="I12" i="3" s="1"/>
  <c r="J12" i="3" s="1"/>
  <c r="G11" i="3"/>
  <c r="I11" i="3" s="1"/>
  <c r="J11" i="3" s="1"/>
  <c r="G10" i="3"/>
  <c r="I10" i="3" s="1"/>
  <c r="J10" i="3" s="1"/>
  <c r="G9" i="3"/>
  <c r="G8" i="3"/>
  <c r="I8" i="3" s="1"/>
  <c r="J8" i="3" s="1"/>
  <c r="G7" i="3"/>
  <c r="I7" i="3" s="1"/>
  <c r="J7" i="3" s="1"/>
  <c r="G6" i="3"/>
  <c r="I63" i="1"/>
  <c r="D26" i="1"/>
  <c r="I53" i="3" l="1"/>
  <c r="I6" i="3"/>
  <c r="I36" i="3"/>
  <c r="I42" i="3"/>
  <c r="I49" i="3"/>
  <c r="I55" i="3"/>
  <c r="I9" i="3"/>
  <c r="I15" i="3"/>
  <c r="I39" i="3"/>
  <c r="I45" i="3"/>
  <c r="I29" i="3"/>
  <c r="I47" i="3"/>
  <c r="I59" i="3"/>
  <c r="I18" i="3"/>
  <c r="I24" i="3"/>
  <c r="I21" i="3"/>
  <c r="I33" i="3"/>
  <c r="I51" i="3"/>
  <c r="I26" i="3"/>
  <c r="I32" i="3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5" i="1"/>
  <c r="D23" i="1"/>
  <c r="D24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7" i="1"/>
  <c r="G64" i="3" l="1"/>
  <c r="G63" i="3" s="1"/>
  <c r="J47" i="3"/>
  <c r="J49" i="3"/>
  <c r="J21" i="3"/>
  <c r="J42" i="3"/>
  <c r="G62" i="3"/>
  <c r="J15" i="3"/>
  <c r="J51" i="3"/>
  <c r="J55" i="3"/>
  <c r="J33" i="3"/>
  <c r="J29" i="3"/>
  <c r="J45" i="3"/>
  <c r="J24" i="3"/>
  <c r="J39" i="3"/>
  <c r="J36" i="3"/>
  <c r="J32" i="3"/>
  <c r="J18" i="3"/>
  <c r="J6" i="3"/>
  <c r="J26" i="3"/>
  <c r="J59" i="3"/>
  <c r="J9" i="3"/>
  <c r="J53" i="3"/>
  <c r="I64" i="3" l="1"/>
  <c r="I62" i="3"/>
  <c r="J64" i="3" l="1"/>
  <c r="I63" i="3"/>
  <c r="J63" i="3" s="1"/>
  <c r="G38" i="1"/>
  <c r="I38" i="1" s="1"/>
  <c r="J38" i="1" s="1"/>
  <c r="M38" i="1" s="1"/>
  <c r="N38" i="1" s="1"/>
  <c r="G37" i="1"/>
  <c r="I37" i="1" s="1"/>
  <c r="J37" i="1" s="1"/>
  <c r="M37" i="1" s="1"/>
  <c r="N37" i="1" s="1"/>
  <c r="G36" i="1"/>
  <c r="I36" i="1" s="1"/>
  <c r="J36" i="1" s="1"/>
  <c r="M36" i="1" s="1"/>
  <c r="N36" i="1" s="1"/>
  <c r="G35" i="1"/>
  <c r="I35" i="1" s="1"/>
  <c r="J35" i="1" s="1"/>
  <c r="M35" i="1" s="1"/>
  <c r="N35" i="1" s="1"/>
  <c r="G32" i="1"/>
  <c r="I32" i="1" s="1"/>
  <c r="J32" i="1" s="1"/>
  <c r="M32" i="1" s="1"/>
  <c r="N32" i="1" s="1"/>
  <c r="G31" i="1"/>
  <c r="I31" i="1" s="1"/>
  <c r="J31" i="1" s="1"/>
  <c r="M31" i="1" s="1"/>
  <c r="N31" i="1" s="1"/>
  <c r="G30" i="1"/>
  <c r="I30" i="1" s="1"/>
  <c r="J30" i="1" s="1"/>
  <c r="M30" i="1" s="1"/>
  <c r="N30" i="1" s="1"/>
  <c r="G28" i="1"/>
  <c r="I28" i="1" s="1"/>
  <c r="J28" i="1" s="1"/>
  <c r="M28" i="1" s="1"/>
  <c r="N28" i="1" s="1"/>
  <c r="G27" i="1"/>
  <c r="I27" i="1" s="1"/>
  <c r="J27" i="1" s="1"/>
  <c r="M27" i="1" s="1"/>
  <c r="N27" i="1" s="1"/>
  <c r="G26" i="1"/>
  <c r="I26" i="1" s="1"/>
  <c r="J26" i="1" s="1"/>
  <c r="M26" i="1" s="1"/>
  <c r="N26" i="1" s="1"/>
  <c r="G23" i="1"/>
  <c r="I23" i="1" s="1"/>
  <c r="G21" i="1"/>
  <c r="I21" i="1" s="1"/>
  <c r="G20" i="1"/>
  <c r="I20" i="1" s="1"/>
  <c r="G19" i="1"/>
  <c r="I19" i="1" s="1"/>
  <c r="G25" i="1"/>
  <c r="I25" i="1" s="1"/>
  <c r="G22" i="1"/>
  <c r="I22" i="1" s="1"/>
  <c r="G10" i="1"/>
  <c r="I10" i="1" s="1"/>
  <c r="G9" i="1"/>
  <c r="I9" i="1" s="1"/>
  <c r="G8" i="1"/>
  <c r="I8" i="1"/>
  <c r="G7" i="1"/>
  <c r="I7" i="1" s="1"/>
  <c r="G34" i="1"/>
  <c r="I34" i="1" s="1"/>
  <c r="J34" i="1" s="1"/>
  <c r="M34" i="1" s="1"/>
  <c r="N34" i="1" s="1"/>
  <c r="G33" i="1"/>
  <c r="I33" i="1" s="1"/>
  <c r="J33" i="1" s="1"/>
  <c r="M33" i="1" s="1"/>
  <c r="N33" i="1" s="1"/>
  <c r="G51" i="1"/>
  <c r="I51" i="1" s="1"/>
  <c r="J51" i="1" s="1"/>
  <c r="M51" i="1" s="1"/>
  <c r="N51" i="1" s="1"/>
  <c r="G50" i="1"/>
  <c r="I50" i="1" s="1"/>
  <c r="J50" i="1" s="1"/>
  <c r="M50" i="1" s="1"/>
  <c r="N50" i="1" s="1"/>
  <c r="E62" i="1"/>
  <c r="E64" i="1" s="1"/>
  <c r="F62" i="1"/>
  <c r="F64" i="1" s="1"/>
  <c r="G41" i="1"/>
  <c r="I41" i="1" s="1"/>
  <c r="J41" i="1" s="1"/>
  <c r="M41" i="1" s="1"/>
  <c r="N41" i="1" s="1"/>
  <c r="G29" i="1"/>
  <c r="I29" i="1" s="1"/>
  <c r="J29" i="1" s="1"/>
  <c r="M29" i="1" s="1"/>
  <c r="N29" i="1" s="1"/>
  <c r="G55" i="1"/>
  <c r="I55" i="1" s="1"/>
  <c r="J55" i="1" s="1"/>
  <c r="M55" i="1" s="1"/>
  <c r="N55" i="1" s="1"/>
  <c r="G56" i="1"/>
  <c r="I56" i="1" s="1"/>
  <c r="J56" i="1" s="1"/>
  <c r="M56" i="1" s="1"/>
  <c r="N56" i="1" s="1"/>
  <c r="G57" i="1"/>
  <c r="I57" i="1" s="1"/>
  <c r="J57" i="1" s="1"/>
  <c r="M57" i="1" s="1"/>
  <c r="N57" i="1" s="1"/>
  <c r="G58" i="1"/>
  <c r="I58" i="1" s="1"/>
  <c r="J58" i="1" s="1"/>
  <c r="M58" i="1" s="1"/>
  <c r="N58" i="1" s="1"/>
  <c r="G59" i="1"/>
  <c r="I59" i="1" s="1"/>
  <c r="J59" i="1" s="1"/>
  <c r="M59" i="1" s="1"/>
  <c r="N59" i="1" s="1"/>
  <c r="G60" i="1"/>
  <c r="I60" i="1" s="1"/>
  <c r="J60" i="1" s="1"/>
  <c r="M60" i="1" s="1"/>
  <c r="N60" i="1" s="1"/>
  <c r="G61" i="1"/>
  <c r="I61" i="1" s="1"/>
  <c r="J61" i="1" s="1"/>
  <c r="M61" i="1" s="1"/>
  <c r="N61" i="1" s="1"/>
  <c r="G54" i="1"/>
  <c r="I54" i="1" s="1"/>
  <c r="J54" i="1" s="1"/>
  <c r="M54" i="1" s="1"/>
  <c r="N54" i="1" s="1"/>
  <c r="G39" i="1"/>
  <c r="I39" i="1" s="1"/>
  <c r="J39" i="1" s="1"/>
  <c r="M39" i="1" s="1"/>
  <c r="N39" i="1" s="1"/>
  <c r="G40" i="1"/>
  <c r="I40" i="1" s="1"/>
  <c r="J40" i="1" s="1"/>
  <c r="M40" i="1" s="1"/>
  <c r="N40" i="1" s="1"/>
  <c r="G42" i="1"/>
  <c r="I42" i="1" s="1"/>
  <c r="J42" i="1" s="1"/>
  <c r="M42" i="1" s="1"/>
  <c r="N42" i="1" s="1"/>
  <c r="G43" i="1"/>
  <c r="I43" i="1" s="1"/>
  <c r="J43" i="1" s="1"/>
  <c r="M43" i="1" s="1"/>
  <c r="N43" i="1" s="1"/>
  <c r="G44" i="1"/>
  <c r="I44" i="1" s="1"/>
  <c r="J44" i="1" s="1"/>
  <c r="M44" i="1" s="1"/>
  <c r="N44" i="1" s="1"/>
  <c r="G45" i="1"/>
  <c r="I45" i="1" s="1"/>
  <c r="J45" i="1" s="1"/>
  <c r="M45" i="1" s="1"/>
  <c r="N45" i="1" s="1"/>
  <c r="G46" i="1"/>
  <c r="I46" i="1" s="1"/>
  <c r="J46" i="1" s="1"/>
  <c r="M46" i="1" s="1"/>
  <c r="N46" i="1" s="1"/>
  <c r="G47" i="1"/>
  <c r="I47" i="1" s="1"/>
  <c r="J47" i="1" s="1"/>
  <c r="M47" i="1" s="1"/>
  <c r="N47" i="1" s="1"/>
  <c r="G48" i="1"/>
  <c r="I48" i="1" s="1"/>
  <c r="J48" i="1" s="1"/>
  <c r="M48" i="1" s="1"/>
  <c r="N48" i="1" s="1"/>
  <c r="G49" i="1"/>
  <c r="I49" i="1" s="1"/>
  <c r="J49" i="1" s="1"/>
  <c r="M49" i="1" s="1"/>
  <c r="N49" i="1" s="1"/>
  <c r="G52" i="1"/>
  <c r="I52" i="1" s="1"/>
  <c r="J52" i="1" s="1"/>
  <c r="M52" i="1" s="1"/>
  <c r="N52" i="1" s="1"/>
  <c r="G53" i="1"/>
  <c r="I53" i="1" s="1"/>
  <c r="J53" i="1" s="1"/>
  <c r="M53" i="1" s="1"/>
  <c r="N53" i="1" s="1"/>
  <c r="G11" i="1" l="1"/>
  <c r="G12" i="1"/>
  <c r="G13" i="1"/>
  <c r="G14" i="1"/>
  <c r="G15" i="1"/>
  <c r="G16" i="1"/>
  <c r="G17" i="1"/>
  <c r="G18" i="1"/>
  <c r="G24" i="1"/>
  <c r="H64" i="1" l="1"/>
  <c r="G62" i="1"/>
  <c r="G64" i="1" s="1"/>
  <c r="I24" i="1"/>
  <c r="J24" i="1" s="1"/>
  <c r="M25" i="1" s="1"/>
  <c r="N25" i="1" s="1"/>
  <c r="J23" i="1"/>
  <c r="M24" i="1" s="1"/>
  <c r="N24" i="1" s="1"/>
  <c r="J25" i="1"/>
  <c r="M23" i="1" s="1"/>
  <c r="N23" i="1" s="1"/>
  <c r="J22" i="1"/>
  <c r="M22" i="1" s="1"/>
  <c r="N22" i="1" s="1"/>
  <c r="J21" i="1"/>
  <c r="M21" i="1" s="1"/>
  <c r="N21" i="1" s="1"/>
  <c r="J20" i="1"/>
  <c r="M20" i="1" s="1"/>
  <c r="N20" i="1" s="1"/>
  <c r="J19" i="1"/>
  <c r="M19" i="1" s="1"/>
  <c r="N19" i="1" s="1"/>
  <c r="I18" i="1"/>
  <c r="J18" i="1" s="1"/>
  <c r="M18" i="1" s="1"/>
  <c r="N18" i="1" s="1"/>
  <c r="I17" i="1"/>
  <c r="J17" i="1" s="1"/>
  <c r="M17" i="1" s="1"/>
  <c r="N17" i="1" s="1"/>
  <c r="I16" i="1"/>
  <c r="J16" i="1" s="1"/>
  <c r="M16" i="1" s="1"/>
  <c r="N16" i="1" s="1"/>
  <c r="I15" i="1"/>
  <c r="J15" i="1" s="1"/>
  <c r="M15" i="1" s="1"/>
  <c r="N15" i="1" s="1"/>
  <c r="I14" i="1"/>
  <c r="J14" i="1" s="1"/>
  <c r="M14" i="1" s="1"/>
  <c r="N14" i="1" s="1"/>
  <c r="I13" i="1"/>
  <c r="J13" i="1" s="1"/>
  <c r="M13" i="1" s="1"/>
  <c r="N13" i="1" s="1"/>
  <c r="I12" i="1"/>
  <c r="J12" i="1" s="1"/>
  <c r="M12" i="1" s="1"/>
  <c r="N12" i="1" s="1"/>
  <c r="I11" i="1"/>
  <c r="J11" i="1" s="1"/>
  <c r="M11" i="1" s="1"/>
  <c r="N11" i="1" s="1"/>
  <c r="J10" i="1"/>
  <c r="M10" i="1" s="1"/>
  <c r="N10" i="1" s="1"/>
  <c r="J9" i="1"/>
  <c r="J8" i="1"/>
  <c r="J7" i="1"/>
  <c r="M7" i="1" l="1"/>
  <c r="N7" i="1" s="1"/>
  <c r="M9" i="1"/>
  <c r="N9" i="1" s="1"/>
  <c r="M8" i="1"/>
  <c r="N8" i="1" s="1"/>
  <c r="I62" i="1"/>
  <c r="J62" i="1" l="1"/>
  <c r="M62" i="1" s="1"/>
  <c r="N62" i="1" s="1"/>
  <c r="I64" i="1"/>
</calcChain>
</file>

<file path=xl/comments1.xml><?xml version="1.0" encoding="utf-8"?>
<comments xmlns="http://schemas.openxmlformats.org/spreadsheetml/2006/main">
  <authors>
    <author>user</author>
  </authors>
  <commentList>
    <comment ref="H5" authorId="0" shapeId="0">
      <text>
        <r>
          <rPr>
            <b/>
            <sz val="9"/>
            <color indexed="81"/>
            <rFont val="Tahoma"/>
            <family val="2"/>
          </rPr>
          <t xml:space="preserve">10/22 </t>
        </r>
        <r>
          <rPr>
            <b/>
            <sz val="9"/>
            <color indexed="81"/>
            <rFont val="돋움"/>
            <family val="3"/>
            <charset val="129"/>
          </rPr>
          <t>기준자료
행감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제출은
</t>
        </r>
        <r>
          <rPr>
            <b/>
            <sz val="9"/>
            <color indexed="81"/>
            <rFont val="Tahoma"/>
            <family val="2"/>
          </rPr>
          <t xml:space="preserve">10/31 </t>
        </r>
        <r>
          <rPr>
            <b/>
            <sz val="9"/>
            <color indexed="81"/>
            <rFont val="돋움"/>
            <family val="3"/>
            <charset val="129"/>
          </rPr>
          <t>기준으로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K5" authorId="0" shapeId="0">
      <text>
        <r>
          <rPr>
            <b/>
            <sz val="9"/>
            <color indexed="81"/>
            <rFont val="Tahoma"/>
            <family val="2"/>
          </rPr>
          <t xml:space="preserve">30%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H4" authorId="0" shapeId="0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
예상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집행액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K4" authorId="0" shapeId="0">
      <text>
        <r>
          <rPr>
            <b/>
            <sz val="9"/>
            <color indexed="81"/>
            <rFont val="Tahoma"/>
            <family val="2"/>
          </rPr>
          <t xml:space="preserve">30%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sharedStrings.xml><?xml version="1.0" encoding="utf-8"?>
<sst xmlns="http://schemas.openxmlformats.org/spreadsheetml/2006/main" count="271" uniqueCount="74">
  <si>
    <t>연번</t>
  </si>
  <si>
    <t>세부사업명</t>
  </si>
  <si>
    <t>최종예산액</t>
  </si>
  <si>
    <t>집행액</t>
  </si>
  <si>
    <t>(B)</t>
  </si>
  <si>
    <t>집행잔액</t>
  </si>
  <si>
    <t>불용률</t>
  </si>
  <si>
    <t>(C/A)</t>
  </si>
  <si>
    <t>(단위: 원)</t>
    <phoneticPr fontId="6" type="noConversion"/>
  </si>
  <si>
    <t>-예산 불용률 30%이상 사업 내역 및 미집행 사유 기재</t>
    <phoneticPr fontId="6" type="noConversion"/>
  </si>
  <si>
    <t>예산액</t>
    <phoneticPr fontId="6" type="noConversion"/>
  </si>
  <si>
    <t>추경액</t>
    <phoneticPr fontId="6" type="noConversion"/>
  </si>
  <si>
    <t>(a)</t>
    <phoneticPr fontId="6" type="noConversion"/>
  </si>
  <si>
    <t>(b)</t>
    <phoneticPr fontId="6" type="noConversion"/>
  </si>
  <si>
    <t>(A=a+b)</t>
    <phoneticPr fontId="6" type="noConversion"/>
  </si>
  <si>
    <r>
      <t xml:space="preserve">미집행 사유
</t>
    </r>
    <r>
      <rPr>
        <b/>
        <sz val="10"/>
        <color rgb="FFFF0000"/>
        <rFont val="한양신명조"/>
        <family val="3"/>
        <charset val="129"/>
      </rPr>
      <t>(사유 및 금액 최대한 세부적으로 작성)</t>
    </r>
    <phoneticPr fontId="6" type="noConversion"/>
  </si>
  <si>
    <t>(C=A-B)</t>
    <phoneticPr fontId="6" type="noConversion"/>
  </si>
  <si>
    <t>2026년 예산관련(10월 말일 현재)</t>
    <phoneticPr fontId="6" type="noConversion"/>
  </si>
  <si>
    <t>체크된 사업장은 미집행사유 작성(집행액 기준: 10/22 )</t>
    <phoneticPr fontId="6" type="noConversion"/>
  </si>
  <si>
    <t>단위사업</t>
    <phoneticPr fontId="6" type="noConversion"/>
  </si>
  <si>
    <t xml:space="preserve"> 열린혁신팀</t>
  </si>
  <si>
    <t xml:space="preserve"> 경영지원팀</t>
  </si>
  <si>
    <t xml:space="preserve"> 안전감사팀</t>
  </si>
  <si>
    <t xml:space="preserve"> 도봉구민회관</t>
  </si>
  <si>
    <t xml:space="preserve"> 창동문화체육센터</t>
  </si>
  <si>
    <t xml:space="preserve"> 초안산배드민턴장</t>
  </si>
  <si>
    <t xml:space="preserve"> 창골운동장</t>
  </si>
  <si>
    <t xml:space="preserve"> 다락원체육공원</t>
  </si>
  <si>
    <t xml:space="preserve"> 도봉동실내스포츠센터</t>
  </si>
  <si>
    <t xml:space="preserve"> 도봉동실내스포츠센터 별관</t>
  </si>
  <si>
    <t xml:space="preserve"> 쌍문종합체육센터</t>
  </si>
  <si>
    <t xml:space="preserve"> 행정지원센터</t>
  </si>
  <si>
    <t xml:space="preserve"> 도봉구청사</t>
  </si>
  <si>
    <t xml:space="preserve"> 도봉보건소</t>
  </si>
  <si>
    <t xml:space="preserve"> 도봉다가치센터</t>
  </si>
  <si>
    <t xml:space="preserve"> 도봉통합복지센터</t>
  </si>
  <si>
    <t xml:space="preserve"> 주차사업</t>
  </si>
  <si>
    <t xml:space="preserve"> 도봉견인보관소</t>
  </si>
  <si>
    <t>기본경비</t>
  </si>
  <si>
    <t>기본경비</t>
    <phoneticPr fontId="6" type="noConversion"/>
  </si>
  <si>
    <t>사업운영비</t>
  </si>
  <si>
    <t>인력운영비</t>
  </si>
  <si>
    <t>영업외활동</t>
  </si>
  <si>
    <t>시설물유지관리</t>
  </si>
  <si>
    <t>직원후생복지증진</t>
  </si>
  <si>
    <t>정보통신유지관리</t>
  </si>
  <si>
    <t>기록관및정보공개운영</t>
  </si>
  <si>
    <t>건전재정운영</t>
  </si>
  <si>
    <t>깨끗하고투명한공단구현</t>
  </si>
  <si>
    <t>체계적인시설안전구축</t>
  </si>
  <si>
    <t>주차장관리</t>
  </si>
  <si>
    <t>체육강좌운영</t>
  </si>
  <si>
    <t>견인보관소및통합상황실운영</t>
  </si>
  <si>
    <t>계</t>
    <phoneticPr fontId="6" type="noConversion"/>
  </si>
  <si>
    <t>새부사업</t>
    <phoneticPr fontId="6" type="noConversion"/>
  </si>
  <si>
    <t xml:space="preserve"> 창동유아스포츠</t>
    <phoneticPr fontId="6" type="noConversion"/>
  </si>
  <si>
    <t xml:space="preserve"> 창골엘리트체육</t>
    <phoneticPr fontId="6" type="noConversion"/>
  </si>
  <si>
    <t>2026년 예산관련(12월 말일 예상액)</t>
    <phoneticPr fontId="6" type="noConversion"/>
  </si>
  <si>
    <t>-12월 말일 예상 집행액으로 작성</t>
    <phoneticPr fontId="6" type="noConversion"/>
  </si>
  <si>
    <t>예상집행액</t>
    <phoneticPr fontId="6" type="noConversion"/>
  </si>
  <si>
    <t>예상집행잔액</t>
    <phoneticPr fontId="6" type="noConversion"/>
  </si>
  <si>
    <t>예상불용률</t>
    <phoneticPr fontId="6" type="noConversion"/>
  </si>
  <si>
    <t>세부사업명</t>
    <phoneticPr fontId="6" type="noConversion"/>
  </si>
  <si>
    <t>일반회계</t>
    <phoneticPr fontId="6" type="noConversion"/>
  </si>
  <si>
    <t>특별회계</t>
    <phoneticPr fontId="6" type="noConversion"/>
  </si>
  <si>
    <t>검증</t>
    <phoneticPr fontId="6" type="noConversion"/>
  </si>
  <si>
    <t>불용액30%까지 부족액</t>
    <phoneticPr fontId="6" type="noConversion"/>
  </si>
  <si>
    <r>
      <t xml:space="preserve">미집행 사유
</t>
    </r>
    <r>
      <rPr>
        <b/>
        <sz val="10"/>
        <color rgb="FFFF0000"/>
        <rFont val="한양신명조"/>
        <family val="3"/>
        <charset val="129"/>
      </rPr>
      <t>(사유 및 금액 최대한 세부적으로 작성) - 한글파일 작성</t>
    </r>
    <phoneticPr fontId="6" type="noConversion"/>
  </si>
  <si>
    <t>(단위: 원)</t>
    <phoneticPr fontId="6" type="noConversion"/>
  </si>
  <si>
    <t>류계민</t>
    <phoneticPr fontId="6" type="noConversion"/>
  </si>
  <si>
    <t>김미경/김민선</t>
    <phoneticPr fontId="6" type="noConversion"/>
  </si>
  <si>
    <t>김민선</t>
    <phoneticPr fontId="6" type="noConversion"/>
  </si>
  <si>
    <t>김민지</t>
    <phoneticPr fontId="6" type="noConversion"/>
  </si>
  <si>
    <t>류계민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</si>
</sst>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.0%"/>
    <numFmt numFmtId="177" formatCode="#,##0_ ;[Red]\-#,##0\ 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한양신명조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한양신명조"/>
      <family val="3"/>
      <charset val="129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FF0000"/>
      <name val="한양신명조"/>
      <family val="3"/>
      <charset val="129"/>
    </font>
    <font>
      <b/>
      <sz val="1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0"/>
      <name val="한양신명조"/>
      <family val="3"/>
      <charset val="129"/>
    </font>
    <font>
      <sz val="10"/>
      <name val="한양신명조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9" fillId="0" borderId="0" xfId="0" applyFont="1">
      <alignment vertical="center"/>
    </xf>
    <xf numFmtId="0" fontId="8" fillId="0" borderId="0" xfId="0" quotePrefix="1" applyFont="1">
      <alignment vertical="center"/>
    </xf>
    <xf numFmtId="0" fontId="0" fillId="3" borderId="0" xfId="0" applyFill="1">
      <alignment vertical="center"/>
    </xf>
    <xf numFmtId="0" fontId="10" fillId="3" borderId="0" xfId="0" applyFont="1" applyFill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0" fontId="0" fillId="0" borderId="0" xfId="2" applyNumberFormat="1" applyFont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right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2" xfId="0" applyNumberFormat="1" applyFont="1" applyFill="1" applyBorder="1" applyAlignment="1">
      <alignment horizontal="justify" vertical="center"/>
    </xf>
    <xf numFmtId="0" fontId="2" fillId="0" borderId="12" xfId="0" quotePrefix="1" applyNumberFormat="1" applyFont="1" applyFill="1" applyBorder="1" applyAlignment="1">
      <alignment horizontal="justify" vertical="center" wrapText="1"/>
    </xf>
    <xf numFmtId="0" fontId="2" fillId="0" borderId="13" xfId="0" applyFont="1" applyFill="1" applyBorder="1" applyAlignment="1">
      <alignment horizontal="center" vertical="center"/>
    </xf>
    <xf numFmtId="0" fontId="2" fillId="0" borderId="15" xfId="0" quotePrefix="1" applyNumberFormat="1" applyFont="1" applyFill="1" applyBorder="1" applyAlignment="1">
      <alignment horizontal="justify" vertical="center" wrapText="1"/>
    </xf>
    <xf numFmtId="0" fontId="2" fillId="0" borderId="12" xfId="0" quotePrefix="1" applyNumberFormat="1" applyFont="1" applyFill="1" applyBorder="1" applyAlignment="1">
      <alignment horizontal="justify" vertical="center"/>
    </xf>
    <xf numFmtId="0" fontId="2" fillId="0" borderId="15" xfId="0" applyNumberFormat="1" applyFont="1" applyFill="1" applyBorder="1" applyAlignment="1">
      <alignment horizontal="justify" vertical="center"/>
    </xf>
    <xf numFmtId="0" fontId="0" fillId="0" borderId="0" xfId="0" applyFont="1" applyFill="1">
      <alignment vertical="center"/>
    </xf>
    <xf numFmtId="10" fontId="1" fillId="0" borderId="0" xfId="2" applyNumberFormat="1" applyFont="1" applyFill="1">
      <alignment vertical="center"/>
    </xf>
    <xf numFmtId="41" fontId="1" fillId="0" borderId="0" xfId="1" applyFont="1" applyFill="1">
      <alignment vertical="center"/>
    </xf>
    <xf numFmtId="0" fontId="13" fillId="0" borderId="0" xfId="0" applyFont="1">
      <alignment vertical="center"/>
    </xf>
    <xf numFmtId="0" fontId="14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176" fontId="7" fillId="0" borderId="11" xfId="2" applyNumberFormat="1" applyFont="1" applyFill="1" applyBorder="1" applyAlignment="1">
      <alignment horizontal="center" vertical="center"/>
    </xf>
    <xf numFmtId="176" fontId="7" fillId="0" borderId="14" xfId="2" applyNumberFormat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center"/>
    </xf>
    <xf numFmtId="177" fontId="5" fillId="0" borderId="0" xfId="0" applyNumberFormat="1" applyFont="1" applyFill="1" applyBorder="1" applyAlignment="1">
      <alignment horizontal="right" vertical="center"/>
    </xf>
    <xf numFmtId="41" fontId="0" fillId="0" borderId="0" xfId="0" applyNumberFormat="1">
      <alignment vertical="center"/>
    </xf>
    <xf numFmtId="41" fontId="8" fillId="0" borderId="0" xfId="1" applyFont="1" applyAlignment="1">
      <alignment horizontal="center" vertical="center"/>
    </xf>
    <xf numFmtId="0" fontId="13" fillId="3" borderId="0" xfId="0" applyFont="1" applyFill="1">
      <alignment vertical="center"/>
    </xf>
    <xf numFmtId="41" fontId="13" fillId="3" borderId="0" xfId="1" applyFont="1" applyFill="1">
      <alignment vertical="center"/>
    </xf>
    <xf numFmtId="0" fontId="0" fillId="3" borderId="0" xfId="0" applyFont="1" applyFill="1">
      <alignment vertical="center"/>
    </xf>
    <xf numFmtId="41" fontId="1" fillId="3" borderId="0" xfId="1" applyFont="1" applyFill="1">
      <alignment vertical="center"/>
    </xf>
    <xf numFmtId="0" fontId="7" fillId="0" borderId="7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left" vertical="center"/>
    </xf>
    <xf numFmtId="176" fontId="7" fillId="0" borderId="8" xfId="2" applyNumberFormat="1" applyFont="1" applyFill="1" applyBorder="1" applyAlignment="1">
      <alignment horizontal="center" vertical="center"/>
    </xf>
    <xf numFmtId="0" fontId="7" fillId="0" borderId="9" xfId="0" quotePrefix="1" applyNumberFormat="1" applyFont="1" applyFill="1" applyBorder="1" applyAlignment="1">
      <alignment horizontal="justify" vertical="center" wrapText="1"/>
    </xf>
    <xf numFmtId="0" fontId="13" fillId="0" borderId="0" xfId="0" applyFont="1" applyFill="1">
      <alignment vertical="center"/>
    </xf>
    <xf numFmtId="10" fontId="13" fillId="0" borderId="0" xfId="2" applyNumberFormat="1" applyFont="1" applyFill="1">
      <alignment vertical="center"/>
    </xf>
    <xf numFmtId="0" fontId="7" fillId="0" borderId="10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left" vertical="center"/>
    </xf>
    <xf numFmtId="0" fontId="7" fillId="0" borderId="12" xfId="0" applyNumberFormat="1" applyFont="1" applyFill="1" applyBorder="1" applyAlignment="1">
      <alignment horizontal="justify" vertical="center"/>
    </xf>
    <xf numFmtId="0" fontId="2" fillId="0" borderId="12" xfId="0" applyNumberFormat="1" applyFont="1" applyFill="1" applyBorder="1" applyAlignment="1">
      <alignment horizontal="justify" vertical="center" wrapText="1"/>
    </xf>
    <xf numFmtId="177" fontId="0" fillId="0" borderId="0" xfId="0" applyNumberForma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left" vertical="center"/>
    </xf>
    <xf numFmtId="0" fontId="2" fillId="0" borderId="18" xfId="0" applyFont="1" applyFill="1" applyBorder="1" applyAlignment="1">
      <alignment horizontal="left" vertical="center"/>
    </xf>
    <xf numFmtId="41" fontId="5" fillId="0" borderId="11" xfId="1" applyFont="1" applyFill="1" applyBorder="1" applyAlignment="1">
      <alignment horizontal="right" vertical="center"/>
    </xf>
    <xf numFmtId="41" fontId="5" fillId="0" borderId="11" xfId="1" applyFont="1" applyFill="1" applyBorder="1" applyAlignment="1">
      <alignment horizontal="left" vertical="center"/>
    </xf>
    <xf numFmtId="41" fontId="5" fillId="0" borderId="14" xfId="1" applyFont="1" applyFill="1" applyBorder="1" applyAlignment="1">
      <alignment horizontal="right" vertical="center"/>
    </xf>
    <xf numFmtId="0" fontId="7" fillId="0" borderId="16" xfId="0" applyFont="1" applyFill="1" applyBorder="1" applyAlignment="1">
      <alignment horizontal="left" vertical="center"/>
    </xf>
    <xf numFmtId="0" fontId="7" fillId="0" borderId="16" xfId="0" applyFont="1" applyFill="1" applyBorder="1" applyAlignment="1">
      <alignment horizontal="center" vertical="center"/>
    </xf>
    <xf numFmtId="41" fontId="15" fillId="0" borderId="8" xfId="1" applyFont="1" applyFill="1" applyBorder="1" applyAlignment="1">
      <alignment horizontal="right" vertical="center"/>
    </xf>
    <xf numFmtId="0" fontId="7" fillId="0" borderId="17" xfId="0" applyFont="1" applyFill="1" applyBorder="1" applyAlignment="1">
      <alignment horizontal="left" vertical="center"/>
    </xf>
    <xf numFmtId="0" fontId="7" fillId="0" borderId="17" xfId="0" applyFont="1" applyFill="1" applyBorder="1" applyAlignment="1">
      <alignment horizontal="center" vertical="center"/>
    </xf>
    <xf numFmtId="41" fontId="15" fillId="0" borderId="11" xfId="1" applyFont="1" applyFill="1" applyBorder="1" applyAlignment="1">
      <alignment horizontal="right" vertical="center"/>
    </xf>
    <xf numFmtId="177" fontId="0" fillId="0" borderId="0" xfId="0" applyNumberFormat="1" applyFont="1" applyFill="1">
      <alignment vertical="center"/>
    </xf>
    <xf numFmtId="0" fontId="2" fillId="0" borderId="15" xfId="0" applyNumberFormat="1" applyFont="1" applyFill="1" applyBorder="1" applyAlignment="1">
      <alignment horizontal="justify" vertical="center" wrapText="1"/>
    </xf>
    <xf numFmtId="177" fontId="0" fillId="3" borderId="0" xfId="0" applyNumberFormat="1" applyFill="1">
      <alignment vertical="center"/>
    </xf>
    <xf numFmtId="177" fontId="3" fillId="2" borderId="3" xfId="0" applyNumberFormat="1" applyFont="1" applyFill="1" applyBorder="1" applyAlignment="1">
      <alignment horizontal="center" vertical="center"/>
    </xf>
    <xf numFmtId="177" fontId="3" fillId="2" borderId="4" xfId="0" applyNumberFormat="1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left" vertical="center"/>
    </xf>
    <xf numFmtId="0" fontId="2" fillId="0" borderId="20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left" vertical="center"/>
    </xf>
    <xf numFmtId="41" fontId="5" fillId="0" borderId="21" xfId="1" applyFont="1" applyFill="1" applyBorder="1" applyAlignment="1">
      <alignment horizontal="right" vertical="center"/>
    </xf>
    <xf numFmtId="176" fontId="7" fillId="0" borderId="21" xfId="2" applyNumberFormat="1" applyFont="1" applyFill="1" applyBorder="1" applyAlignment="1">
      <alignment horizontal="center" vertical="center"/>
    </xf>
    <xf numFmtId="0" fontId="2" fillId="0" borderId="22" xfId="0" applyNumberFormat="1" applyFont="1" applyFill="1" applyBorder="1" applyAlignment="1">
      <alignment horizontal="justify" vertical="center"/>
    </xf>
    <xf numFmtId="41" fontId="7" fillId="0" borderId="11" xfId="1" applyFont="1" applyFill="1" applyBorder="1" applyAlignment="1">
      <alignment horizontal="right" vertical="center"/>
    </xf>
    <xf numFmtId="41" fontId="7" fillId="0" borderId="8" xfId="1" applyFont="1" applyFill="1" applyBorder="1" applyAlignment="1">
      <alignment horizontal="right" vertical="center"/>
    </xf>
    <xf numFmtId="41" fontId="7" fillId="0" borderId="14" xfId="1" applyFont="1" applyFill="1" applyBorder="1" applyAlignment="1">
      <alignment horizontal="right" vertical="center"/>
    </xf>
    <xf numFmtId="41" fontId="7" fillId="0" borderId="21" xfId="1" applyFont="1" applyFill="1" applyBorder="1" applyAlignment="1">
      <alignment horizontal="right" vertical="center"/>
    </xf>
    <xf numFmtId="41" fontId="7" fillId="3" borderId="8" xfId="1" applyFont="1" applyFill="1" applyBorder="1" applyAlignment="1">
      <alignment horizontal="right" vertical="center"/>
    </xf>
    <xf numFmtId="41" fontId="7" fillId="3" borderId="11" xfId="1" applyFont="1" applyFill="1" applyBorder="1" applyAlignment="1">
      <alignment horizontal="right" vertical="center"/>
    </xf>
    <xf numFmtId="41" fontId="7" fillId="3" borderId="14" xfId="1" applyFont="1" applyFill="1" applyBorder="1" applyAlignment="1">
      <alignment horizontal="right" vertical="center"/>
    </xf>
    <xf numFmtId="41" fontId="7" fillId="3" borderId="21" xfId="1" applyFont="1" applyFill="1" applyBorder="1" applyAlignment="1">
      <alignment horizontal="right" vertical="center"/>
    </xf>
    <xf numFmtId="0" fontId="8" fillId="0" borderId="0" xfId="0" applyFont="1">
      <alignment vertical="center"/>
    </xf>
    <xf numFmtId="41" fontId="18" fillId="0" borderId="0" xfId="0" applyNumberFormat="1" applyFont="1">
      <alignment vertical="center"/>
    </xf>
    <xf numFmtId="0" fontId="2" fillId="0" borderId="11" xfId="0" applyFont="1" applyFill="1" applyBorder="1" applyAlignment="1">
      <alignment horizontal="left" vertical="center"/>
    </xf>
    <xf numFmtId="41" fontId="2" fillId="0" borderId="11" xfId="1" applyFont="1" applyFill="1" applyBorder="1" applyAlignment="1">
      <alignment horizontal="right" vertical="center"/>
    </xf>
    <xf numFmtId="41" fontId="2" fillId="0" borderId="11" xfId="1" applyFont="1" applyFill="1" applyBorder="1" applyAlignment="1">
      <alignment horizontal="left" vertical="center"/>
    </xf>
    <xf numFmtId="41" fontId="2" fillId="0" borderId="14" xfId="1" applyFont="1" applyFill="1" applyBorder="1" applyAlignment="1">
      <alignment horizontal="right" vertical="center"/>
    </xf>
    <xf numFmtId="0" fontId="2" fillId="0" borderId="14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41" fontId="0" fillId="0" borderId="23" xfId="1" applyFont="1" applyBorder="1">
      <alignment vertical="center"/>
    </xf>
    <xf numFmtId="177" fontId="0" fillId="0" borderId="23" xfId="1" applyNumberFormat="1" applyFont="1" applyBorder="1">
      <alignment vertical="center"/>
    </xf>
    <xf numFmtId="176" fontId="13" fillId="0" borderId="23" xfId="2" applyNumberFormat="1" applyFont="1" applyBorder="1">
      <alignment vertical="center"/>
    </xf>
    <xf numFmtId="0" fontId="0" fillId="0" borderId="23" xfId="0" applyNumberFormat="1" applyBorder="1">
      <alignment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176" fontId="7" fillId="3" borderId="8" xfId="2" applyNumberFormat="1" applyFont="1" applyFill="1" applyBorder="1" applyAlignment="1">
      <alignment horizontal="center" vertical="center"/>
    </xf>
    <xf numFmtId="0" fontId="7" fillId="3" borderId="9" xfId="0" quotePrefix="1" applyNumberFormat="1" applyFont="1" applyFill="1" applyBorder="1" applyAlignment="1">
      <alignment horizontal="justify" vertical="center" wrapText="1"/>
    </xf>
    <xf numFmtId="10" fontId="13" fillId="3" borderId="0" xfId="2" applyNumberFormat="1" applyFont="1" applyFill="1">
      <alignment vertical="center"/>
    </xf>
    <xf numFmtId="0" fontId="7" fillId="3" borderId="11" xfId="0" applyFont="1" applyFill="1" applyBorder="1" applyAlignment="1">
      <alignment horizontal="left" vertical="center"/>
    </xf>
    <xf numFmtId="176" fontId="7" fillId="3" borderId="11" xfId="2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justify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41" fontId="2" fillId="3" borderId="11" xfId="1" applyFont="1" applyFill="1" applyBorder="1" applyAlignment="1">
      <alignment horizontal="right" vertical="center"/>
    </xf>
    <xf numFmtId="0" fontId="2" fillId="3" borderId="12" xfId="0" quotePrefix="1" applyNumberFormat="1" applyFont="1" applyFill="1" applyBorder="1" applyAlignment="1">
      <alignment horizontal="justify" vertical="center" wrapText="1"/>
    </xf>
    <xf numFmtId="10" fontId="1" fillId="3" borderId="0" xfId="2" applyNumberFormat="1" applyFont="1" applyFill="1">
      <alignment vertical="center"/>
    </xf>
    <xf numFmtId="0" fontId="2" fillId="3" borderId="12" xfId="0" applyNumberFormat="1" applyFont="1" applyFill="1" applyBorder="1" applyAlignment="1">
      <alignment horizontal="justify" vertical="center" wrapText="1"/>
    </xf>
    <xf numFmtId="0" fontId="2" fillId="3" borderId="12" xfId="0" applyNumberFormat="1" applyFont="1" applyFill="1" applyBorder="1" applyAlignment="1">
      <alignment horizontal="justify" vertical="center"/>
    </xf>
    <xf numFmtId="41" fontId="2" fillId="3" borderId="11" xfId="1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center" vertical="center"/>
    </xf>
    <xf numFmtId="41" fontId="2" fillId="3" borderId="14" xfId="1" applyFont="1" applyFill="1" applyBorder="1" applyAlignment="1">
      <alignment horizontal="right" vertical="center"/>
    </xf>
    <xf numFmtId="176" fontId="7" fillId="3" borderId="14" xfId="2" applyNumberFormat="1" applyFont="1" applyFill="1" applyBorder="1" applyAlignment="1">
      <alignment horizontal="center" vertical="center"/>
    </xf>
    <xf numFmtId="0" fontId="2" fillId="3" borderId="15" xfId="0" applyNumberFormat="1" applyFont="1" applyFill="1" applyBorder="1" applyAlignment="1">
      <alignment horizontal="justify" vertical="center"/>
    </xf>
    <xf numFmtId="0" fontId="2" fillId="3" borderId="14" xfId="0" applyFont="1" applyFill="1" applyBorder="1" applyAlignment="1">
      <alignment horizontal="left" vertical="center"/>
    </xf>
    <xf numFmtId="0" fontId="2" fillId="3" borderId="15" xfId="0" applyNumberFormat="1" applyFont="1" applyFill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 wrapText="1"/>
    </xf>
    <xf numFmtId="0" fontId="3" fillId="2" borderId="6" xfId="0" applyNumberFormat="1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3">
    <dxf>
      <fill>
        <patternFill patternType="solid">
          <fgColor rgb="FFFF0000"/>
          <bgColor rgb="FFFF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pageSetUpPr fitToPage="1"/>
  </sheetPr>
  <dimension ref="A1:N64"/>
  <sheetViews>
    <sheetView tabSelected="1" view="pageBreakPreview" zoomScaleNormal="100" zoomScaleSheetLayoutView="100" workbookViewId="0">
      <pane ySplit="6" topLeftCell="A7" activePane="bottomLeft" state="frozen"/>
      <selection pane="bottomLeft" activeCell="K13" sqref="K13"/>
    </sheetView>
  </sheetViews>
  <sheetFormatPr defaultRowHeight="16.5"/>
  <cols>
    <col min="1" max="1" width="7.125" customWidth="1"/>
    <col min="2" max="2" width="22.25" customWidth="1"/>
    <col min="3" max="3" width="24" hidden="1" customWidth="1"/>
    <col min="4" max="4" width="34.625" customWidth="1"/>
    <col min="5" max="5" width="16.125" bestFit="1" customWidth="1"/>
    <col min="6" max="6" width="14.375" style="47" customWidth="1"/>
    <col min="7" max="7" width="14.375" customWidth="1"/>
    <col min="8" max="8" width="15.625" bestFit="1" customWidth="1"/>
    <col min="9" max="9" width="14.625" bestFit="1" customWidth="1"/>
    <col min="10" max="10" width="7.125" style="23" bestFit="1" customWidth="1"/>
    <col min="11" max="11" width="57" style="11" customWidth="1"/>
    <col min="12" max="12" width="12.125" bestFit="1" customWidth="1"/>
    <col min="13" max="13" width="8.5" style="10" customWidth="1"/>
    <col min="14" max="14" width="18.75" style="3" customWidth="1"/>
  </cols>
  <sheetData>
    <row r="1" spans="1:14" ht="20.25">
      <c r="A1" s="4" t="s">
        <v>17</v>
      </c>
      <c r="B1" s="4"/>
      <c r="C1" s="4"/>
    </row>
    <row r="2" spans="1:14">
      <c r="A2" s="5" t="s">
        <v>9</v>
      </c>
      <c r="B2" s="5"/>
      <c r="C2" s="5"/>
    </row>
    <row r="3" spans="1:14">
      <c r="A3" s="7" t="s">
        <v>18</v>
      </c>
      <c r="B3" s="7"/>
      <c r="C3" s="7"/>
      <c r="D3" s="6"/>
      <c r="E3" s="6"/>
      <c r="F3" s="64"/>
      <c r="G3" s="6"/>
    </row>
    <row r="4" spans="1:14" ht="17.25" thickBot="1">
      <c r="K4" s="12" t="s">
        <v>68</v>
      </c>
    </row>
    <row r="5" spans="1:14" ht="24.75" customHeight="1" thickTop="1">
      <c r="A5" s="122" t="s">
        <v>0</v>
      </c>
      <c r="B5" s="124" t="s">
        <v>19</v>
      </c>
      <c r="C5" s="124" t="s">
        <v>54</v>
      </c>
      <c r="D5" s="124" t="s">
        <v>1</v>
      </c>
      <c r="E5" s="8" t="s">
        <v>10</v>
      </c>
      <c r="F5" s="65" t="s">
        <v>11</v>
      </c>
      <c r="G5" s="1" t="s">
        <v>2</v>
      </c>
      <c r="H5" s="1" t="s">
        <v>3</v>
      </c>
      <c r="I5" s="1" t="s">
        <v>5</v>
      </c>
      <c r="J5" s="24" t="s">
        <v>6</v>
      </c>
      <c r="K5" s="126" t="s">
        <v>67</v>
      </c>
    </row>
    <row r="6" spans="1:14" ht="17.25" hidden="1" thickBot="1">
      <c r="A6" s="123"/>
      <c r="B6" s="125"/>
      <c r="C6" s="125"/>
      <c r="D6" s="125"/>
      <c r="E6" s="9" t="s">
        <v>12</v>
      </c>
      <c r="F6" s="66" t="s">
        <v>13</v>
      </c>
      <c r="G6" s="2" t="s">
        <v>14</v>
      </c>
      <c r="H6" s="2" t="s">
        <v>4</v>
      </c>
      <c r="I6" s="2" t="s">
        <v>16</v>
      </c>
      <c r="J6" s="25" t="s">
        <v>7</v>
      </c>
      <c r="K6" s="127"/>
      <c r="N6" s="32" t="s">
        <v>66</v>
      </c>
    </row>
    <row r="7" spans="1:14" s="33" customFormat="1" ht="17.25" hidden="1" thickTop="1">
      <c r="A7" s="95">
        <v>1</v>
      </c>
      <c r="B7" s="96" t="s">
        <v>20</v>
      </c>
      <c r="C7" s="57" t="s">
        <v>39</v>
      </c>
      <c r="D7" s="99" t="str">
        <f>B7&amp;"-"&amp;C7</f>
        <v xml:space="preserve"> 열린혁신팀-기본경비</v>
      </c>
      <c r="E7" s="79">
        <v>34034000</v>
      </c>
      <c r="F7" s="79">
        <v>0</v>
      </c>
      <c r="G7" s="79">
        <f>E7+F7</f>
        <v>34034000</v>
      </c>
      <c r="H7" s="79">
        <v>18624870</v>
      </c>
      <c r="I7" s="79">
        <f>G7-H7</f>
        <v>15409130</v>
      </c>
      <c r="J7" s="100">
        <f>I7/G7</f>
        <v>0.4527569489334195</v>
      </c>
      <c r="K7" s="101"/>
      <c r="M7" s="102">
        <f>IF(J7-30%&lt;0,"",J7-30%)</f>
        <v>0.15275694893341951</v>
      </c>
      <c r="N7" s="34">
        <f t="shared" ref="N7:N9" si="0">IF(M7&gt;0,G7*M7,"")</f>
        <v>5198930</v>
      </c>
    </row>
    <row r="8" spans="1:14" s="33" customFormat="1" hidden="1">
      <c r="A8" s="97">
        <v>2</v>
      </c>
      <c r="B8" s="98" t="s">
        <v>20</v>
      </c>
      <c r="C8" s="60" t="s">
        <v>40</v>
      </c>
      <c r="D8" s="103" t="str">
        <f t="shared" ref="D8:D61" si="1">B8&amp;"-"&amp;C8</f>
        <v xml:space="preserve"> 열린혁신팀-사업운영비</v>
      </c>
      <c r="E8" s="80">
        <v>47954000</v>
      </c>
      <c r="F8" s="80">
        <v>0</v>
      </c>
      <c r="G8" s="80">
        <f t="shared" ref="G8:G54" si="2">E8+F8</f>
        <v>47954000</v>
      </c>
      <c r="H8" s="80">
        <v>24685033</v>
      </c>
      <c r="I8" s="80">
        <f t="shared" ref="I8:I26" si="3">G8-H8</f>
        <v>23268967</v>
      </c>
      <c r="J8" s="104">
        <f t="shared" ref="J8:J26" si="4">I8/G8</f>
        <v>0.48523516286441171</v>
      </c>
      <c r="K8" s="105"/>
      <c r="M8" s="102">
        <f t="shared" ref="M8:M9" si="5">J8-30%</f>
        <v>0.18523516286441172</v>
      </c>
      <c r="N8" s="34">
        <f t="shared" si="0"/>
        <v>8882767</v>
      </c>
    </row>
    <row r="9" spans="1:14" s="20" customFormat="1" hidden="1">
      <c r="A9" s="13">
        <v>3</v>
      </c>
      <c r="B9" s="51" t="s">
        <v>20</v>
      </c>
      <c r="C9" s="60" t="s">
        <v>45</v>
      </c>
      <c r="D9" s="85" t="str">
        <f t="shared" si="1"/>
        <v xml:space="preserve"> 열린혁신팀-정보통신유지관리</v>
      </c>
      <c r="E9" s="86">
        <v>282029000</v>
      </c>
      <c r="F9" s="86">
        <v>-7818000</v>
      </c>
      <c r="G9" s="75">
        <f t="shared" si="2"/>
        <v>274211000</v>
      </c>
      <c r="H9" s="75">
        <v>242367921</v>
      </c>
      <c r="I9" s="75">
        <f t="shared" si="3"/>
        <v>31843079</v>
      </c>
      <c r="J9" s="26">
        <f t="shared" si="4"/>
        <v>0.11612619114477538</v>
      </c>
      <c r="K9" s="14"/>
      <c r="M9" s="21">
        <f t="shared" si="5"/>
        <v>-0.18387380885522461</v>
      </c>
      <c r="N9" s="22" t="str">
        <f t="shared" si="0"/>
        <v/>
      </c>
    </row>
    <row r="10" spans="1:14" s="35" customFormat="1">
      <c r="A10" s="106">
        <v>4</v>
      </c>
      <c r="B10" s="107" t="s">
        <v>21</v>
      </c>
      <c r="C10" s="60" t="s">
        <v>41</v>
      </c>
      <c r="D10" s="108" t="str">
        <f t="shared" si="1"/>
        <v xml:space="preserve"> 경영지원팀-인력운영비</v>
      </c>
      <c r="E10" s="109">
        <v>16371837000</v>
      </c>
      <c r="F10" s="109">
        <v>0</v>
      </c>
      <c r="G10" s="80">
        <f t="shared" si="2"/>
        <v>16371837000</v>
      </c>
      <c r="H10" s="80">
        <v>11118469972</v>
      </c>
      <c r="I10" s="80">
        <f t="shared" si="3"/>
        <v>5253367028</v>
      </c>
      <c r="J10" s="104">
        <f t="shared" si="4"/>
        <v>0.32087828800152357</v>
      </c>
      <c r="K10" s="110" t="s">
        <v>69</v>
      </c>
      <c r="M10" s="111">
        <f t="shared" ref="M10:M22" si="6">J10-30%</f>
        <v>2.0878288001523582E-2</v>
      </c>
      <c r="N10" s="36">
        <f t="shared" ref="N10:N22" si="7">IF(M10&gt;0,G10*M10,"")</f>
        <v>341815927.99999982</v>
      </c>
    </row>
    <row r="11" spans="1:14" s="35" customFormat="1">
      <c r="A11" s="106">
        <v>5</v>
      </c>
      <c r="B11" s="107" t="s">
        <v>21</v>
      </c>
      <c r="C11" s="60" t="s">
        <v>44</v>
      </c>
      <c r="D11" s="108" t="str">
        <f t="shared" si="1"/>
        <v xml:space="preserve"> 경영지원팀-직원후생복지증진</v>
      </c>
      <c r="E11" s="109">
        <v>127908000</v>
      </c>
      <c r="F11" s="109">
        <v>0</v>
      </c>
      <c r="G11" s="80">
        <f t="shared" si="2"/>
        <v>127908000</v>
      </c>
      <c r="H11" s="80">
        <v>86861210</v>
      </c>
      <c r="I11" s="80">
        <f t="shared" si="3"/>
        <v>41046790</v>
      </c>
      <c r="J11" s="104">
        <f t="shared" si="4"/>
        <v>0.32090870000312727</v>
      </c>
      <c r="K11" s="112" t="s">
        <v>70</v>
      </c>
      <c r="M11" s="111">
        <f t="shared" si="6"/>
        <v>2.0908700003127278E-2</v>
      </c>
      <c r="N11" s="36">
        <f t="shared" si="7"/>
        <v>2674390.0000000037</v>
      </c>
    </row>
    <row r="12" spans="1:14" s="35" customFormat="1">
      <c r="A12" s="106">
        <v>6</v>
      </c>
      <c r="B12" s="107" t="s">
        <v>21</v>
      </c>
      <c r="C12" s="60" t="s">
        <v>38</v>
      </c>
      <c r="D12" s="108" t="str">
        <f t="shared" si="1"/>
        <v xml:space="preserve"> 경영지원팀-기본경비</v>
      </c>
      <c r="E12" s="109">
        <v>438823000</v>
      </c>
      <c r="F12" s="109">
        <v>0</v>
      </c>
      <c r="G12" s="80">
        <f t="shared" si="2"/>
        <v>438823000</v>
      </c>
      <c r="H12" s="80">
        <v>295287956</v>
      </c>
      <c r="I12" s="80">
        <f t="shared" si="3"/>
        <v>143535044</v>
      </c>
      <c r="J12" s="104">
        <f t="shared" si="4"/>
        <v>0.32709097745560284</v>
      </c>
      <c r="K12" s="113" t="s">
        <v>71</v>
      </c>
      <c r="M12" s="111">
        <f t="shared" si="6"/>
        <v>2.7090977455602849E-2</v>
      </c>
      <c r="N12" s="36">
        <f t="shared" si="7"/>
        <v>11888144.000000009</v>
      </c>
    </row>
    <row r="13" spans="1:14" s="35" customFormat="1">
      <c r="A13" s="106">
        <v>7</v>
      </c>
      <c r="B13" s="107" t="s">
        <v>21</v>
      </c>
      <c r="C13" s="60" t="s">
        <v>46</v>
      </c>
      <c r="D13" s="108" t="str">
        <f t="shared" si="1"/>
        <v xml:space="preserve"> 경영지원팀-기록관및정보공개운영</v>
      </c>
      <c r="E13" s="114">
        <v>7896000</v>
      </c>
      <c r="F13" s="109">
        <v>0</v>
      </c>
      <c r="G13" s="80">
        <f t="shared" si="2"/>
        <v>7896000</v>
      </c>
      <c r="H13" s="80">
        <v>2031000</v>
      </c>
      <c r="I13" s="80">
        <f t="shared" si="3"/>
        <v>5865000</v>
      </c>
      <c r="J13" s="104">
        <f t="shared" si="4"/>
        <v>0.74278115501519759</v>
      </c>
      <c r="K13" s="113" t="s">
        <v>72</v>
      </c>
      <c r="M13" s="111">
        <f t="shared" si="6"/>
        <v>0.4427811550151976</v>
      </c>
      <c r="N13" s="36">
        <f t="shared" si="7"/>
        <v>3496200.0000000005</v>
      </c>
    </row>
    <row r="14" spans="1:14" s="20" customFormat="1" hidden="1">
      <c r="A14" s="13">
        <v>8</v>
      </c>
      <c r="B14" s="51" t="s">
        <v>21</v>
      </c>
      <c r="C14" s="60" t="s">
        <v>47</v>
      </c>
      <c r="D14" s="85" t="str">
        <f t="shared" si="1"/>
        <v xml:space="preserve"> 경영지원팀-건전재정운영</v>
      </c>
      <c r="E14" s="87">
        <v>7820000</v>
      </c>
      <c r="F14" s="86">
        <v>0</v>
      </c>
      <c r="G14" s="75">
        <f t="shared" si="2"/>
        <v>7820000</v>
      </c>
      <c r="H14" s="75">
        <v>7188000</v>
      </c>
      <c r="I14" s="75">
        <f t="shared" si="3"/>
        <v>632000</v>
      </c>
      <c r="J14" s="26">
        <f t="shared" si="4"/>
        <v>8.0818414322250634E-2</v>
      </c>
      <c r="K14" s="14"/>
      <c r="M14" s="21">
        <f t="shared" si="6"/>
        <v>-0.21918158567774937</v>
      </c>
      <c r="N14" s="22" t="str">
        <f t="shared" si="7"/>
        <v/>
      </c>
    </row>
    <row r="15" spans="1:14" s="35" customFormat="1" hidden="1">
      <c r="A15" s="13">
        <v>9</v>
      </c>
      <c r="B15" s="51" t="s">
        <v>21</v>
      </c>
      <c r="C15" s="60" t="s">
        <v>42</v>
      </c>
      <c r="D15" s="85" t="str">
        <f t="shared" si="1"/>
        <v xml:space="preserve"> 경영지원팀-영업외활동</v>
      </c>
      <c r="E15" s="87">
        <v>5000000</v>
      </c>
      <c r="F15" s="86">
        <v>0</v>
      </c>
      <c r="G15" s="75">
        <f t="shared" si="2"/>
        <v>5000000</v>
      </c>
      <c r="H15" s="75">
        <v>5000000</v>
      </c>
      <c r="I15" s="75">
        <f t="shared" si="3"/>
        <v>0</v>
      </c>
      <c r="J15" s="26">
        <f t="shared" si="4"/>
        <v>0</v>
      </c>
      <c r="K15" s="15"/>
      <c r="L15" s="62"/>
      <c r="M15" s="21">
        <f t="shared" si="6"/>
        <v>-0.3</v>
      </c>
      <c r="N15" s="36" t="str">
        <f t="shared" si="7"/>
        <v/>
      </c>
    </row>
    <row r="16" spans="1:14" s="35" customFormat="1" hidden="1">
      <c r="A16" s="106">
        <v>10</v>
      </c>
      <c r="B16" s="107" t="s">
        <v>22</v>
      </c>
      <c r="C16" s="60" t="s">
        <v>38</v>
      </c>
      <c r="D16" s="108" t="str">
        <f>B16&amp;"-"&amp;C16</f>
        <v xml:space="preserve"> 안전감사팀-기본경비</v>
      </c>
      <c r="E16" s="109">
        <v>14430000</v>
      </c>
      <c r="F16" s="109">
        <v>0</v>
      </c>
      <c r="G16" s="80">
        <f>E16+F16</f>
        <v>14430000</v>
      </c>
      <c r="H16" s="80">
        <v>6621720</v>
      </c>
      <c r="I16" s="80">
        <f>G16-H16</f>
        <v>7808280</v>
      </c>
      <c r="J16" s="104">
        <f>I16/G16</f>
        <v>0.54111434511434509</v>
      </c>
      <c r="K16" s="112"/>
      <c r="M16" s="111">
        <f t="shared" si="6"/>
        <v>0.2411143451143451</v>
      </c>
      <c r="N16" s="36">
        <f t="shared" si="7"/>
        <v>3479279.9999999995</v>
      </c>
    </row>
    <row r="17" spans="1:14" s="35" customFormat="1" hidden="1">
      <c r="A17" s="106">
        <v>11</v>
      </c>
      <c r="B17" s="107" t="s">
        <v>22</v>
      </c>
      <c r="C17" s="60" t="s">
        <v>48</v>
      </c>
      <c r="D17" s="108" t="str">
        <f>B17&amp;"-"&amp;C17</f>
        <v xml:space="preserve"> 안전감사팀-깨끗하고투명한공단구현</v>
      </c>
      <c r="E17" s="109">
        <v>6100000</v>
      </c>
      <c r="F17" s="109">
        <v>0</v>
      </c>
      <c r="G17" s="80">
        <f>E17+F17</f>
        <v>6100000</v>
      </c>
      <c r="H17" s="80">
        <v>3750000</v>
      </c>
      <c r="I17" s="80">
        <f>G17-H17</f>
        <v>2350000</v>
      </c>
      <c r="J17" s="104">
        <f>I17/G17</f>
        <v>0.38524590163934425</v>
      </c>
      <c r="K17" s="113"/>
      <c r="M17" s="111">
        <f t="shared" si="6"/>
        <v>8.5245901639344257E-2</v>
      </c>
      <c r="N17" s="36">
        <f t="shared" si="7"/>
        <v>519999.99999999994</v>
      </c>
    </row>
    <row r="18" spans="1:14" s="20" customFormat="1" hidden="1">
      <c r="A18" s="13">
        <v>12</v>
      </c>
      <c r="B18" s="51" t="s">
        <v>22</v>
      </c>
      <c r="C18" s="60" t="s">
        <v>49</v>
      </c>
      <c r="D18" s="85" t="str">
        <f>B18&amp;"-"&amp;C18</f>
        <v xml:space="preserve"> 안전감사팀-체계적인시설안전구축</v>
      </c>
      <c r="E18" s="86">
        <v>46847000</v>
      </c>
      <c r="F18" s="86">
        <v>0</v>
      </c>
      <c r="G18" s="75">
        <f>E18+F18</f>
        <v>46847000</v>
      </c>
      <c r="H18" s="75">
        <v>34515840</v>
      </c>
      <c r="I18" s="75">
        <f>G18-H18</f>
        <v>12331160</v>
      </c>
      <c r="J18" s="26">
        <f>I18/G18</f>
        <v>0.26322197792814905</v>
      </c>
      <c r="K18" s="15"/>
      <c r="M18" s="21">
        <f t="shared" si="6"/>
        <v>-3.6778022071850935E-2</v>
      </c>
      <c r="N18" s="22" t="str">
        <f t="shared" si="7"/>
        <v/>
      </c>
    </row>
    <row r="19" spans="1:14" s="35" customFormat="1" hidden="1">
      <c r="A19" s="106">
        <v>13</v>
      </c>
      <c r="B19" s="107" t="s">
        <v>23</v>
      </c>
      <c r="C19" s="60" t="s">
        <v>38</v>
      </c>
      <c r="D19" s="108" t="str">
        <f t="shared" si="1"/>
        <v xml:space="preserve"> 도봉구민회관-기본경비</v>
      </c>
      <c r="E19" s="109">
        <v>53024000</v>
      </c>
      <c r="F19" s="109">
        <v>0</v>
      </c>
      <c r="G19" s="80">
        <f t="shared" si="2"/>
        <v>53024000</v>
      </c>
      <c r="H19" s="80">
        <f>36764437+125890</f>
        <v>36890327</v>
      </c>
      <c r="I19" s="80">
        <f t="shared" si="3"/>
        <v>16133673</v>
      </c>
      <c r="J19" s="104">
        <f t="shared" si="4"/>
        <v>0.30427114136994571</v>
      </c>
      <c r="K19" s="113"/>
      <c r="M19" s="111">
        <f t="shared" si="6"/>
        <v>4.271141369945719E-3</v>
      </c>
      <c r="N19" s="36">
        <f t="shared" si="7"/>
        <v>226473.0000000018</v>
      </c>
    </row>
    <row r="20" spans="1:14" s="20" customFormat="1" hidden="1">
      <c r="A20" s="16">
        <v>14</v>
      </c>
      <c r="B20" s="52" t="s">
        <v>23</v>
      </c>
      <c r="C20" s="67" t="s">
        <v>43</v>
      </c>
      <c r="D20" s="85" t="str">
        <f t="shared" si="1"/>
        <v xml:space="preserve"> 도봉구민회관-시설물유지관리</v>
      </c>
      <c r="E20" s="88">
        <v>90871000</v>
      </c>
      <c r="F20" s="88">
        <v>8200000</v>
      </c>
      <c r="G20" s="77">
        <f t="shared" si="2"/>
        <v>99071000</v>
      </c>
      <c r="H20" s="77">
        <v>78150386</v>
      </c>
      <c r="I20" s="77">
        <f t="shared" si="3"/>
        <v>20920614</v>
      </c>
      <c r="J20" s="27">
        <f t="shared" si="4"/>
        <v>0.21116788969526906</v>
      </c>
      <c r="K20" s="17"/>
      <c r="M20" s="21">
        <f t="shared" si="6"/>
        <v>-8.8832110304730927E-2</v>
      </c>
      <c r="N20" s="22" t="str">
        <f t="shared" si="7"/>
        <v/>
      </c>
    </row>
    <row r="21" spans="1:14" s="20" customFormat="1" hidden="1">
      <c r="A21" s="13">
        <v>15</v>
      </c>
      <c r="B21" s="51" t="s">
        <v>23</v>
      </c>
      <c r="C21" s="60" t="s">
        <v>51</v>
      </c>
      <c r="D21" s="85" t="str">
        <f t="shared" si="1"/>
        <v xml:space="preserve"> 도봉구민회관-체육강좌운영</v>
      </c>
      <c r="E21" s="86">
        <v>234913000</v>
      </c>
      <c r="F21" s="86">
        <v>0</v>
      </c>
      <c r="G21" s="75">
        <f t="shared" si="2"/>
        <v>234913000</v>
      </c>
      <c r="H21" s="75">
        <v>215979263</v>
      </c>
      <c r="I21" s="75">
        <f t="shared" si="3"/>
        <v>18933737</v>
      </c>
      <c r="J21" s="26">
        <f t="shared" si="4"/>
        <v>8.0598932370707449E-2</v>
      </c>
      <c r="K21" s="18"/>
      <c r="M21" s="21">
        <f t="shared" si="6"/>
        <v>-0.21940106762929254</v>
      </c>
      <c r="N21" s="22" t="str">
        <f t="shared" si="7"/>
        <v/>
      </c>
    </row>
    <row r="22" spans="1:14" s="35" customFormat="1" hidden="1">
      <c r="A22" s="106">
        <v>16</v>
      </c>
      <c r="B22" s="107" t="s">
        <v>24</v>
      </c>
      <c r="C22" s="60" t="s">
        <v>38</v>
      </c>
      <c r="D22" s="108" t="str">
        <f t="shared" si="1"/>
        <v xml:space="preserve"> 창동문화체육센터-기본경비</v>
      </c>
      <c r="E22" s="109">
        <v>86539000</v>
      </c>
      <c r="F22" s="109">
        <v>6794000</v>
      </c>
      <c r="G22" s="80">
        <f t="shared" si="2"/>
        <v>93333000</v>
      </c>
      <c r="H22" s="80">
        <v>53827570</v>
      </c>
      <c r="I22" s="80">
        <f t="shared" si="3"/>
        <v>39505430</v>
      </c>
      <c r="J22" s="104">
        <f t="shared" si="4"/>
        <v>0.42327397597848565</v>
      </c>
      <c r="K22" s="113"/>
      <c r="M22" s="111">
        <f t="shared" si="6"/>
        <v>0.12327397597848566</v>
      </c>
      <c r="N22" s="36">
        <f t="shared" si="7"/>
        <v>11505530.000000002</v>
      </c>
    </row>
    <row r="23" spans="1:14" s="20" customFormat="1" hidden="1">
      <c r="A23" s="16">
        <v>17</v>
      </c>
      <c r="B23" s="51" t="s">
        <v>24</v>
      </c>
      <c r="C23" s="60" t="s">
        <v>43</v>
      </c>
      <c r="D23" s="85" t="str">
        <f t="shared" si="1"/>
        <v xml:space="preserve"> 창동문화체육센터-시설물유지관리</v>
      </c>
      <c r="E23" s="86">
        <v>159925000</v>
      </c>
      <c r="F23" s="86">
        <v>14771000</v>
      </c>
      <c r="G23" s="75">
        <f t="shared" si="2"/>
        <v>174696000</v>
      </c>
      <c r="H23" s="75">
        <v>135658698</v>
      </c>
      <c r="I23" s="75">
        <f t="shared" si="3"/>
        <v>39037302</v>
      </c>
      <c r="J23" s="26">
        <f t="shared" si="4"/>
        <v>0.2234584764390713</v>
      </c>
      <c r="K23" s="14"/>
      <c r="M23" s="21">
        <f>J25-30%</f>
        <v>0.7</v>
      </c>
      <c r="N23" s="22">
        <f>IF(M23&gt;0,G25*M23,"")</f>
        <v>1400000</v>
      </c>
    </row>
    <row r="24" spans="1:14" s="20" customFormat="1" hidden="1">
      <c r="A24" s="13">
        <v>18</v>
      </c>
      <c r="B24" s="51" t="s">
        <v>24</v>
      </c>
      <c r="C24" s="60" t="s">
        <v>51</v>
      </c>
      <c r="D24" s="85" t="str">
        <f t="shared" si="1"/>
        <v xml:space="preserve"> 창동문화체육센터-체육강좌운영</v>
      </c>
      <c r="E24" s="86">
        <v>1853996000</v>
      </c>
      <c r="F24" s="86">
        <v>72304000</v>
      </c>
      <c r="G24" s="75">
        <f t="shared" si="2"/>
        <v>1926300000</v>
      </c>
      <c r="H24" s="75">
        <v>1469955364</v>
      </c>
      <c r="I24" s="75">
        <f t="shared" si="3"/>
        <v>456344636</v>
      </c>
      <c r="J24" s="26">
        <f t="shared" si="4"/>
        <v>0.23690216269532263</v>
      </c>
      <c r="K24" s="14"/>
      <c r="M24" s="21">
        <f>J23-30%</f>
        <v>-7.6541523560928693E-2</v>
      </c>
      <c r="N24" s="22" t="str">
        <f>IF(M24&gt;0,G23*M24,"")</f>
        <v/>
      </c>
    </row>
    <row r="25" spans="1:14" s="35" customFormat="1" hidden="1">
      <c r="A25" s="106">
        <v>19</v>
      </c>
      <c r="B25" s="115" t="s">
        <v>55</v>
      </c>
      <c r="C25" s="67" t="s">
        <v>38</v>
      </c>
      <c r="D25" s="108" t="str">
        <f>B25&amp;"-"&amp;C25</f>
        <v xml:space="preserve"> 창동유아스포츠-기본경비</v>
      </c>
      <c r="E25" s="117">
        <v>0</v>
      </c>
      <c r="F25" s="117">
        <v>2000000</v>
      </c>
      <c r="G25" s="81">
        <f>E25+F25</f>
        <v>2000000</v>
      </c>
      <c r="H25" s="81">
        <v>0</v>
      </c>
      <c r="I25" s="81">
        <f>G25-H25</f>
        <v>2000000</v>
      </c>
      <c r="J25" s="118">
        <f>I25/G25</f>
        <v>1</v>
      </c>
      <c r="K25" s="119"/>
      <c r="M25" s="111">
        <f>J24-30%</f>
        <v>-6.3097837304677357E-2</v>
      </c>
      <c r="N25" s="36" t="str">
        <f>IF(M25&gt;0,G24*M25,"")</f>
        <v/>
      </c>
    </row>
    <row r="26" spans="1:14" s="35" customFormat="1" hidden="1">
      <c r="A26" s="116">
        <v>20</v>
      </c>
      <c r="B26" s="115" t="s">
        <v>55</v>
      </c>
      <c r="C26" s="67" t="s">
        <v>51</v>
      </c>
      <c r="D26" s="120" t="str">
        <f>B26&amp;"-"&amp;C26</f>
        <v xml:space="preserve"> 창동유아스포츠-체육강좌운영</v>
      </c>
      <c r="E26" s="117">
        <v>0</v>
      </c>
      <c r="F26" s="117">
        <v>78205000</v>
      </c>
      <c r="G26" s="81">
        <f t="shared" si="2"/>
        <v>78205000</v>
      </c>
      <c r="H26" s="81">
        <v>45632280</v>
      </c>
      <c r="I26" s="81">
        <f t="shared" si="3"/>
        <v>32572720</v>
      </c>
      <c r="J26" s="118">
        <f t="shared" si="4"/>
        <v>0.41650431558084522</v>
      </c>
      <c r="K26" s="119"/>
      <c r="M26" s="111">
        <f t="shared" ref="M26:M62" si="8">J26-30%</f>
        <v>0.11650431558084523</v>
      </c>
      <c r="N26" s="36">
        <f t="shared" ref="N26:N62" si="9">IF(M26&gt;0,G26*M26,"")</f>
        <v>9111220.0000000019</v>
      </c>
    </row>
    <row r="27" spans="1:14" s="20" customFormat="1" hidden="1">
      <c r="A27" s="16">
        <v>21</v>
      </c>
      <c r="B27" s="52" t="s">
        <v>25</v>
      </c>
      <c r="C27" s="67" t="s">
        <v>38</v>
      </c>
      <c r="D27" s="89" t="str">
        <f t="shared" si="1"/>
        <v xml:space="preserve"> 초안산배드민턴장-기본경비</v>
      </c>
      <c r="E27" s="88">
        <v>21195000</v>
      </c>
      <c r="F27" s="88">
        <v>0</v>
      </c>
      <c r="G27" s="77">
        <f t="shared" si="2"/>
        <v>21195000</v>
      </c>
      <c r="H27" s="77">
        <v>14953750</v>
      </c>
      <c r="I27" s="77">
        <f t="shared" ref="I27:I54" si="10">G27-H27</f>
        <v>6241250</v>
      </c>
      <c r="J27" s="27">
        <f t="shared" ref="J27:J54" si="11">I27/G27</f>
        <v>0.29446803491389478</v>
      </c>
      <c r="K27" s="19"/>
      <c r="M27" s="21">
        <f t="shared" si="8"/>
        <v>-5.5319650861052061E-3</v>
      </c>
      <c r="N27" s="22" t="str">
        <f t="shared" si="9"/>
        <v/>
      </c>
    </row>
    <row r="28" spans="1:14" s="35" customFormat="1" hidden="1">
      <c r="A28" s="116">
        <v>22</v>
      </c>
      <c r="B28" s="115" t="s">
        <v>25</v>
      </c>
      <c r="C28" s="67" t="s">
        <v>43</v>
      </c>
      <c r="D28" s="120" t="str">
        <f t="shared" si="1"/>
        <v xml:space="preserve"> 초안산배드민턴장-시설물유지관리</v>
      </c>
      <c r="E28" s="117">
        <v>8174000</v>
      </c>
      <c r="F28" s="117">
        <v>0</v>
      </c>
      <c r="G28" s="81">
        <f t="shared" si="2"/>
        <v>8174000</v>
      </c>
      <c r="H28" s="81">
        <v>5260060</v>
      </c>
      <c r="I28" s="81">
        <f t="shared" si="10"/>
        <v>2913940</v>
      </c>
      <c r="J28" s="118">
        <f t="shared" si="11"/>
        <v>0.35648886713971129</v>
      </c>
      <c r="K28" s="119"/>
      <c r="M28" s="111">
        <f t="shared" si="8"/>
        <v>5.6488867139711296E-2</v>
      </c>
      <c r="N28" s="36">
        <f t="shared" si="9"/>
        <v>461740.00000000012</v>
      </c>
    </row>
    <row r="29" spans="1:14" s="35" customFormat="1" hidden="1">
      <c r="A29" s="16">
        <v>23</v>
      </c>
      <c r="B29" s="52" t="s">
        <v>25</v>
      </c>
      <c r="C29" s="67" t="s">
        <v>51</v>
      </c>
      <c r="D29" s="89" t="str">
        <f t="shared" si="1"/>
        <v xml:space="preserve"> 초안산배드민턴장-체육강좌운영</v>
      </c>
      <c r="E29" s="88">
        <v>97113000</v>
      </c>
      <c r="F29" s="88">
        <v>18193000</v>
      </c>
      <c r="G29" s="77">
        <f t="shared" si="2"/>
        <v>115306000</v>
      </c>
      <c r="H29" s="77">
        <v>87669541</v>
      </c>
      <c r="I29" s="77">
        <f t="shared" si="10"/>
        <v>27636459</v>
      </c>
      <c r="J29" s="27">
        <f t="shared" si="11"/>
        <v>0.23967927948242068</v>
      </c>
      <c r="K29" s="19"/>
      <c r="L29" s="20"/>
      <c r="M29" s="21">
        <f t="shared" si="8"/>
        <v>-6.0320720517579307E-2</v>
      </c>
      <c r="N29" s="36" t="str">
        <f t="shared" si="9"/>
        <v/>
      </c>
    </row>
    <row r="30" spans="1:14" s="35" customFormat="1" hidden="1">
      <c r="A30" s="116">
        <v>24</v>
      </c>
      <c r="B30" s="115" t="s">
        <v>26</v>
      </c>
      <c r="C30" s="67" t="s">
        <v>38</v>
      </c>
      <c r="D30" s="120" t="str">
        <f t="shared" si="1"/>
        <v xml:space="preserve"> 창골운동장-기본경비</v>
      </c>
      <c r="E30" s="117">
        <v>16434000</v>
      </c>
      <c r="F30" s="117">
        <v>0</v>
      </c>
      <c r="G30" s="81">
        <f t="shared" si="2"/>
        <v>16434000</v>
      </c>
      <c r="H30" s="81">
        <f>8899100+187600</f>
        <v>9086700</v>
      </c>
      <c r="I30" s="81">
        <f t="shared" si="10"/>
        <v>7347300</v>
      </c>
      <c r="J30" s="118">
        <f t="shared" si="11"/>
        <v>0.44707922599488864</v>
      </c>
      <c r="K30" s="119"/>
      <c r="M30" s="111">
        <f t="shared" si="8"/>
        <v>0.14707922599488865</v>
      </c>
      <c r="N30" s="36">
        <f t="shared" si="9"/>
        <v>2417100</v>
      </c>
    </row>
    <row r="31" spans="1:14" s="35" customFormat="1" hidden="1">
      <c r="A31" s="116">
        <v>25</v>
      </c>
      <c r="B31" s="115" t="s">
        <v>26</v>
      </c>
      <c r="C31" s="67" t="s">
        <v>43</v>
      </c>
      <c r="D31" s="120" t="str">
        <f t="shared" si="1"/>
        <v xml:space="preserve"> 창골운동장-시설물유지관리</v>
      </c>
      <c r="E31" s="117">
        <v>1440000</v>
      </c>
      <c r="F31" s="117">
        <v>0</v>
      </c>
      <c r="G31" s="81">
        <f t="shared" si="2"/>
        <v>1440000</v>
      </c>
      <c r="H31" s="81">
        <v>605000</v>
      </c>
      <c r="I31" s="81">
        <f t="shared" si="10"/>
        <v>835000</v>
      </c>
      <c r="J31" s="118">
        <f t="shared" si="11"/>
        <v>0.57986111111111116</v>
      </c>
      <c r="K31" s="119"/>
      <c r="M31" s="111">
        <f t="shared" si="8"/>
        <v>0.27986111111111117</v>
      </c>
      <c r="N31" s="36">
        <f t="shared" si="9"/>
        <v>403000.00000000006</v>
      </c>
    </row>
    <row r="32" spans="1:14" s="35" customFormat="1" hidden="1">
      <c r="A32" s="116">
        <v>26</v>
      </c>
      <c r="B32" s="115" t="s">
        <v>26</v>
      </c>
      <c r="C32" s="67" t="s">
        <v>51</v>
      </c>
      <c r="D32" s="120" t="str">
        <f t="shared" si="1"/>
        <v xml:space="preserve"> 창골운동장-체육강좌운영</v>
      </c>
      <c r="E32" s="117">
        <v>54457000</v>
      </c>
      <c r="F32" s="117">
        <v>10080000</v>
      </c>
      <c r="G32" s="81">
        <f t="shared" si="2"/>
        <v>64537000</v>
      </c>
      <c r="H32" s="81">
        <v>44859193</v>
      </c>
      <c r="I32" s="81">
        <f t="shared" si="10"/>
        <v>19677807</v>
      </c>
      <c r="J32" s="118">
        <f t="shared" si="11"/>
        <v>0.30490737096549264</v>
      </c>
      <c r="K32" s="119"/>
      <c r="M32" s="111">
        <f t="shared" si="8"/>
        <v>4.9073709654926523E-3</v>
      </c>
      <c r="N32" s="36">
        <f t="shared" si="9"/>
        <v>316706.9999999993</v>
      </c>
    </row>
    <row r="33" spans="1:14" s="35" customFormat="1" hidden="1">
      <c r="A33" s="16">
        <v>27</v>
      </c>
      <c r="B33" s="52" t="s">
        <v>56</v>
      </c>
      <c r="C33" s="67" t="s">
        <v>51</v>
      </c>
      <c r="D33" s="89" t="str">
        <f t="shared" si="1"/>
        <v xml:space="preserve"> 창골엘리트체육-체육강좌운영</v>
      </c>
      <c r="E33" s="88">
        <v>0</v>
      </c>
      <c r="F33" s="88">
        <v>2000000</v>
      </c>
      <c r="G33" s="77">
        <f t="shared" si="2"/>
        <v>2000000</v>
      </c>
      <c r="H33" s="77">
        <v>2000000</v>
      </c>
      <c r="I33" s="77">
        <f t="shared" si="10"/>
        <v>0</v>
      </c>
      <c r="J33" s="27">
        <f t="shared" si="11"/>
        <v>0</v>
      </c>
      <c r="K33" s="63"/>
      <c r="L33" s="20"/>
      <c r="M33" s="21">
        <f t="shared" si="8"/>
        <v>-0.3</v>
      </c>
      <c r="N33" s="36" t="str">
        <f t="shared" si="9"/>
        <v/>
      </c>
    </row>
    <row r="34" spans="1:14" s="35" customFormat="1" hidden="1">
      <c r="A34" s="116">
        <v>28</v>
      </c>
      <c r="B34" s="115" t="s">
        <v>27</v>
      </c>
      <c r="C34" s="67" t="s">
        <v>38</v>
      </c>
      <c r="D34" s="120" t="str">
        <f t="shared" si="1"/>
        <v xml:space="preserve"> 다락원체육공원-기본경비</v>
      </c>
      <c r="E34" s="117">
        <v>90067000</v>
      </c>
      <c r="F34" s="117">
        <v>5430000</v>
      </c>
      <c r="G34" s="81">
        <f t="shared" si="2"/>
        <v>95497000</v>
      </c>
      <c r="H34" s="81">
        <v>65706270</v>
      </c>
      <c r="I34" s="81">
        <f t="shared" si="10"/>
        <v>29790730</v>
      </c>
      <c r="J34" s="118">
        <f t="shared" si="11"/>
        <v>0.31195461637538352</v>
      </c>
      <c r="K34" s="119"/>
      <c r="M34" s="111">
        <f t="shared" si="8"/>
        <v>1.1954616375383531E-2</v>
      </c>
      <c r="N34" s="36">
        <f t="shared" si="9"/>
        <v>1141630.0000000012</v>
      </c>
    </row>
    <row r="35" spans="1:14" s="20" customFormat="1" hidden="1">
      <c r="A35" s="16">
        <v>29</v>
      </c>
      <c r="B35" s="52" t="s">
        <v>27</v>
      </c>
      <c r="C35" s="67" t="s">
        <v>43</v>
      </c>
      <c r="D35" s="89" t="str">
        <f t="shared" si="1"/>
        <v xml:space="preserve"> 다락원체육공원-시설물유지관리</v>
      </c>
      <c r="E35" s="88">
        <v>66440000</v>
      </c>
      <c r="F35" s="88">
        <v>0</v>
      </c>
      <c r="G35" s="77">
        <f t="shared" si="2"/>
        <v>66440000</v>
      </c>
      <c r="H35" s="77">
        <v>59579800</v>
      </c>
      <c r="I35" s="77">
        <f t="shared" si="10"/>
        <v>6860200</v>
      </c>
      <c r="J35" s="27">
        <f t="shared" si="11"/>
        <v>0.10325406381697773</v>
      </c>
      <c r="K35" s="19"/>
      <c r="M35" s="21">
        <f t="shared" si="8"/>
        <v>-0.19674593618302227</v>
      </c>
      <c r="N35" s="22" t="str">
        <f t="shared" si="9"/>
        <v/>
      </c>
    </row>
    <row r="36" spans="1:14" s="20" customFormat="1" hidden="1">
      <c r="A36" s="16">
        <v>30</v>
      </c>
      <c r="B36" s="52" t="s">
        <v>27</v>
      </c>
      <c r="C36" s="67" t="s">
        <v>51</v>
      </c>
      <c r="D36" s="89" t="str">
        <f t="shared" si="1"/>
        <v xml:space="preserve"> 다락원체육공원-체육강좌운영</v>
      </c>
      <c r="E36" s="88">
        <v>469003000</v>
      </c>
      <c r="F36" s="88">
        <v>64659000</v>
      </c>
      <c r="G36" s="77">
        <f t="shared" si="2"/>
        <v>533662000</v>
      </c>
      <c r="H36" s="77">
        <v>396736610</v>
      </c>
      <c r="I36" s="77">
        <f t="shared" si="10"/>
        <v>136925390</v>
      </c>
      <c r="J36" s="27">
        <f t="shared" si="11"/>
        <v>0.25657699067949374</v>
      </c>
      <c r="K36" s="19"/>
      <c r="M36" s="21">
        <f t="shared" si="8"/>
        <v>-4.3423009320506245E-2</v>
      </c>
      <c r="N36" s="22" t="str">
        <f t="shared" si="9"/>
        <v/>
      </c>
    </row>
    <row r="37" spans="1:14" s="35" customFormat="1" hidden="1">
      <c r="A37" s="116">
        <v>31</v>
      </c>
      <c r="B37" s="115" t="s">
        <v>28</v>
      </c>
      <c r="C37" s="67" t="s">
        <v>38</v>
      </c>
      <c r="D37" s="120" t="str">
        <f t="shared" si="1"/>
        <v xml:space="preserve"> 도봉동실내스포츠센터-기본경비</v>
      </c>
      <c r="E37" s="117">
        <v>65993000</v>
      </c>
      <c r="F37" s="117">
        <v>1248000</v>
      </c>
      <c r="G37" s="81">
        <f t="shared" si="2"/>
        <v>67241000</v>
      </c>
      <c r="H37" s="81">
        <v>43853920</v>
      </c>
      <c r="I37" s="81">
        <f t="shared" si="10"/>
        <v>23387080</v>
      </c>
      <c r="J37" s="118">
        <f t="shared" si="11"/>
        <v>0.34780981841436026</v>
      </c>
      <c r="K37" s="121"/>
      <c r="M37" s="111">
        <f t="shared" si="8"/>
        <v>4.7809818414360272E-2</v>
      </c>
      <c r="N37" s="36">
        <f t="shared" si="9"/>
        <v>3214779.9999999991</v>
      </c>
    </row>
    <row r="38" spans="1:14" s="20" customFormat="1" hidden="1">
      <c r="A38" s="16">
        <v>32</v>
      </c>
      <c r="B38" s="52" t="s">
        <v>28</v>
      </c>
      <c r="C38" s="67" t="s">
        <v>43</v>
      </c>
      <c r="D38" s="89" t="str">
        <f t="shared" si="1"/>
        <v xml:space="preserve"> 도봉동실내스포츠센터-시설물유지관리</v>
      </c>
      <c r="E38" s="88">
        <v>72045000</v>
      </c>
      <c r="F38" s="88">
        <v>11830000</v>
      </c>
      <c r="G38" s="77">
        <f t="shared" si="2"/>
        <v>83875000</v>
      </c>
      <c r="H38" s="77">
        <v>60512560</v>
      </c>
      <c r="I38" s="77">
        <f t="shared" si="10"/>
        <v>23362440</v>
      </c>
      <c r="J38" s="27">
        <f t="shared" si="11"/>
        <v>0.27853877794336812</v>
      </c>
      <c r="K38" s="19"/>
      <c r="M38" s="21">
        <f t="shared" si="8"/>
        <v>-2.1461222056631868E-2</v>
      </c>
      <c r="N38" s="22" t="str">
        <f t="shared" si="9"/>
        <v/>
      </c>
    </row>
    <row r="39" spans="1:14" s="20" customFormat="1" hidden="1">
      <c r="A39" s="16">
        <v>33</v>
      </c>
      <c r="B39" s="52" t="s">
        <v>28</v>
      </c>
      <c r="C39" s="67" t="s">
        <v>51</v>
      </c>
      <c r="D39" s="89" t="str">
        <f t="shared" si="1"/>
        <v xml:space="preserve"> 도봉동실내스포츠센터-체육강좌운영</v>
      </c>
      <c r="E39" s="88">
        <v>983107000</v>
      </c>
      <c r="F39" s="88">
        <v>62447000</v>
      </c>
      <c r="G39" s="77">
        <f t="shared" si="2"/>
        <v>1045554000</v>
      </c>
      <c r="H39" s="77">
        <v>800992066</v>
      </c>
      <c r="I39" s="77">
        <f t="shared" si="10"/>
        <v>244561934</v>
      </c>
      <c r="J39" s="27">
        <f t="shared" si="11"/>
        <v>0.23390655480252573</v>
      </c>
      <c r="K39" s="19"/>
      <c r="M39" s="21">
        <f t="shared" si="8"/>
        <v>-6.609344519747426E-2</v>
      </c>
      <c r="N39" s="22" t="str">
        <f t="shared" si="9"/>
        <v/>
      </c>
    </row>
    <row r="40" spans="1:14" s="20" customFormat="1" hidden="1">
      <c r="A40" s="16">
        <v>34</v>
      </c>
      <c r="B40" s="52" t="s">
        <v>29</v>
      </c>
      <c r="C40" s="67" t="s">
        <v>38</v>
      </c>
      <c r="D40" s="89" t="str">
        <f t="shared" si="1"/>
        <v xml:space="preserve"> 도봉동실내스포츠센터 별관-기본경비</v>
      </c>
      <c r="E40" s="88">
        <v>63588000</v>
      </c>
      <c r="F40" s="88">
        <v>0</v>
      </c>
      <c r="G40" s="77">
        <f t="shared" si="2"/>
        <v>63588000</v>
      </c>
      <c r="H40" s="77">
        <v>45858020</v>
      </c>
      <c r="I40" s="77">
        <f t="shared" si="10"/>
        <v>17729980</v>
      </c>
      <c r="J40" s="27">
        <f t="shared" si="11"/>
        <v>0.27882587909668494</v>
      </c>
      <c r="K40" s="19"/>
      <c r="M40" s="21">
        <f t="shared" si="8"/>
        <v>-2.1174120903315052E-2</v>
      </c>
      <c r="N40" s="22" t="str">
        <f t="shared" si="9"/>
        <v/>
      </c>
    </row>
    <row r="41" spans="1:14" s="35" customFormat="1" hidden="1">
      <c r="A41" s="116">
        <v>35</v>
      </c>
      <c r="B41" s="115" t="s">
        <v>29</v>
      </c>
      <c r="C41" s="67" t="s">
        <v>43</v>
      </c>
      <c r="D41" s="120" t="str">
        <f t="shared" si="1"/>
        <v xml:space="preserve"> 도봉동실내스포츠센터 별관-시설물유지관리</v>
      </c>
      <c r="E41" s="117">
        <v>6400000</v>
      </c>
      <c r="F41" s="117">
        <v>0</v>
      </c>
      <c r="G41" s="81">
        <f t="shared" si="2"/>
        <v>6400000</v>
      </c>
      <c r="H41" s="81">
        <v>337700</v>
      </c>
      <c r="I41" s="81">
        <f t="shared" si="10"/>
        <v>6062300</v>
      </c>
      <c r="J41" s="118">
        <f t="shared" si="11"/>
        <v>0.94723437499999996</v>
      </c>
      <c r="K41" s="119"/>
      <c r="M41" s="111">
        <f t="shared" si="8"/>
        <v>0.64723437500000003</v>
      </c>
      <c r="N41" s="36">
        <f t="shared" si="9"/>
        <v>4142300</v>
      </c>
    </row>
    <row r="42" spans="1:14" s="20" customFormat="1" hidden="1">
      <c r="A42" s="16">
        <v>36</v>
      </c>
      <c r="B42" s="52" t="s">
        <v>29</v>
      </c>
      <c r="C42" s="67" t="s">
        <v>51</v>
      </c>
      <c r="D42" s="89" t="str">
        <f t="shared" si="1"/>
        <v xml:space="preserve"> 도봉동실내스포츠센터 별관-체육강좌운영</v>
      </c>
      <c r="E42" s="88">
        <v>273689000</v>
      </c>
      <c r="F42" s="88">
        <v>46207000</v>
      </c>
      <c r="G42" s="77">
        <f t="shared" si="2"/>
        <v>319896000</v>
      </c>
      <c r="H42" s="77">
        <v>244879469</v>
      </c>
      <c r="I42" s="77">
        <f t="shared" si="10"/>
        <v>75016531</v>
      </c>
      <c r="J42" s="27">
        <f t="shared" si="11"/>
        <v>0.2345028728086628</v>
      </c>
      <c r="K42" s="19"/>
      <c r="M42" s="21">
        <f t="shared" si="8"/>
        <v>-6.5497127191337184E-2</v>
      </c>
      <c r="N42" s="22" t="str">
        <f t="shared" si="9"/>
        <v/>
      </c>
    </row>
    <row r="43" spans="1:14" s="35" customFormat="1" hidden="1">
      <c r="A43" s="116">
        <v>37</v>
      </c>
      <c r="B43" s="115" t="s">
        <v>30</v>
      </c>
      <c r="C43" s="67" t="s">
        <v>38</v>
      </c>
      <c r="D43" s="120" t="str">
        <f t="shared" si="1"/>
        <v xml:space="preserve"> 쌍문종합체육센터-기본경비</v>
      </c>
      <c r="E43" s="117">
        <v>72710000</v>
      </c>
      <c r="F43" s="117">
        <v>0</v>
      </c>
      <c r="G43" s="81">
        <f t="shared" si="2"/>
        <v>72710000</v>
      </c>
      <c r="H43" s="81">
        <v>46703610</v>
      </c>
      <c r="I43" s="81">
        <f t="shared" si="10"/>
        <v>26006390</v>
      </c>
      <c r="J43" s="118">
        <f t="shared" si="11"/>
        <v>0.35767280979232569</v>
      </c>
      <c r="K43" s="119"/>
      <c r="M43" s="111">
        <f t="shared" si="8"/>
        <v>5.7672809792325697E-2</v>
      </c>
      <c r="N43" s="36">
        <f t="shared" si="9"/>
        <v>4193390.0000000014</v>
      </c>
    </row>
    <row r="44" spans="1:14" s="35" customFormat="1" hidden="1">
      <c r="A44" s="116">
        <v>38</v>
      </c>
      <c r="B44" s="115" t="s">
        <v>30</v>
      </c>
      <c r="C44" s="67" t="s">
        <v>43</v>
      </c>
      <c r="D44" s="120" t="str">
        <f t="shared" si="1"/>
        <v xml:space="preserve"> 쌍문종합체육센터-시설물유지관리</v>
      </c>
      <c r="E44" s="117">
        <v>50672000</v>
      </c>
      <c r="F44" s="117">
        <v>6520000</v>
      </c>
      <c r="G44" s="81">
        <f t="shared" si="2"/>
        <v>57192000</v>
      </c>
      <c r="H44" s="81">
        <v>26020660</v>
      </c>
      <c r="I44" s="81">
        <f t="shared" si="10"/>
        <v>31171340</v>
      </c>
      <c r="J44" s="118">
        <f t="shared" si="11"/>
        <v>0.54502972443698416</v>
      </c>
      <c r="K44" s="119"/>
      <c r="M44" s="111">
        <f t="shared" si="8"/>
        <v>0.24502972443698418</v>
      </c>
      <c r="N44" s="36">
        <f t="shared" si="9"/>
        <v>14013739.999999998</v>
      </c>
    </row>
    <row r="45" spans="1:14" s="35" customFormat="1" hidden="1">
      <c r="A45" s="16">
        <v>39</v>
      </c>
      <c r="B45" s="52" t="s">
        <v>30</v>
      </c>
      <c r="C45" s="67" t="s">
        <v>51</v>
      </c>
      <c r="D45" s="89" t="str">
        <f t="shared" si="1"/>
        <v xml:space="preserve"> 쌍문종합체육센터-체육강좌운영</v>
      </c>
      <c r="E45" s="88">
        <v>924305000</v>
      </c>
      <c r="F45" s="88">
        <v>91877000</v>
      </c>
      <c r="G45" s="77">
        <f t="shared" si="2"/>
        <v>1016182000</v>
      </c>
      <c r="H45" s="77">
        <v>767316348</v>
      </c>
      <c r="I45" s="77">
        <f t="shared" si="10"/>
        <v>248865652</v>
      </c>
      <c r="J45" s="27">
        <f t="shared" si="11"/>
        <v>0.24490263751965691</v>
      </c>
      <c r="K45" s="19"/>
      <c r="L45" s="20"/>
      <c r="M45" s="21">
        <f t="shared" si="8"/>
        <v>-5.5097362480343082E-2</v>
      </c>
      <c r="N45" s="36" t="str">
        <f t="shared" si="9"/>
        <v/>
      </c>
    </row>
    <row r="46" spans="1:14" s="20" customFormat="1" hidden="1">
      <c r="A46" s="16">
        <v>40</v>
      </c>
      <c r="B46" s="52" t="s">
        <v>31</v>
      </c>
      <c r="C46" s="67" t="s">
        <v>38</v>
      </c>
      <c r="D46" s="89" t="str">
        <f t="shared" si="1"/>
        <v xml:space="preserve"> 행정지원센터-기본경비</v>
      </c>
      <c r="E46" s="88">
        <v>14362000</v>
      </c>
      <c r="F46" s="88">
        <v>0</v>
      </c>
      <c r="G46" s="77">
        <f t="shared" si="2"/>
        <v>14362000</v>
      </c>
      <c r="H46" s="77">
        <v>10844610</v>
      </c>
      <c r="I46" s="77">
        <f t="shared" si="10"/>
        <v>3517390</v>
      </c>
      <c r="J46" s="27">
        <f t="shared" si="11"/>
        <v>0.24490948335886367</v>
      </c>
      <c r="K46" s="19"/>
      <c r="M46" s="21">
        <f t="shared" si="8"/>
        <v>-5.5090516641136317E-2</v>
      </c>
      <c r="N46" s="22" t="str">
        <f t="shared" si="9"/>
        <v/>
      </c>
    </row>
    <row r="47" spans="1:14" s="35" customFormat="1" hidden="1">
      <c r="A47" s="16">
        <v>41</v>
      </c>
      <c r="B47" s="52" t="s">
        <v>31</v>
      </c>
      <c r="C47" s="67" t="s">
        <v>43</v>
      </c>
      <c r="D47" s="89" t="str">
        <f t="shared" si="1"/>
        <v xml:space="preserve"> 행정지원센터-시설물유지관리</v>
      </c>
      <c r="E47" s="88">
        <v>63591000</v>
      </c>
      <c r="F47" s="88">
        <v>0</v>
      </c>
      <c r="G47" s="77">
        <f t="shared" si="2"/>
        <v>63591000</v>
      </c>
      <c r="H47" s="77">
        <v>45956040</v>
      </c>
      <c r="I47" s="77">
        <f t="shared" si="10"/>
        <v>17634960</v>
      </c>
      <c r="J47" s="27">
        <f t="shared" si="11"/>
        <v>0.27731848846534884</v>
      </c>
      <c r="K47" s="19"/>
      <c r="L47" s="20"/>
      <c r="M47" s="21">
        <f t="shared" si="8"/>
        <v>-2.2681511534651144E-2</v>
      </c>
      <c r="N47" s="36" t="str">
        <f t="shared" si="9"/>
        <v/>
      </c>
    </row>
    <row r="48" spans="1:14" s="20" customFormat="1" hidden="1">
      <c r="A48" s="16">
        <v>42</v>
      </c>
      <c r="B48" s="52" t="s">
        <v>32</v>
      </c>
      <c r="C48" s="67" t="s">
        <v>38</v>
      </c>
      <c r="D48" s="89" t="str">
        <f t="shared" si="1"/>
        <v xml:space="preserve"> 도봉구청사-기본경비</v>
      </c>
      <c r="E48" s="88">
        <v>109115000</v>
      </c>
      <c r="F48" s="88">
        <v>2000000</v>
      </c>
      <c r="G48" s="77">
        <f t="shared" si="2"/>
        <v>111115000</v>
      </c>
      <c r="H48" s="77">
        <v>78202800</v>
      </c>
      <c r="I48" s="77">
        <f t="shared" si="10"/>
        <v>32912200</v>
      </c>
      <c r="J48" s="27">
        <f t="shared" si="11"/>
        <v>0.2961994330198443</v>
      </c>
      <c r="K48" s="19"/>
      <c r="M48" s="21">
        <f t="shared" si="8"/>
        <v>-3.8005669801556841E-3</v>
      </c>
      <c r="N48" s="22" t="str">
        <f t="shared" si="9"/>
        <v/>
      </c>
    </row>
    <row r="49" spans="1:14" s="35" customFormat="1" hidden="1">
      <c r="A49" s="116">
        <v>43</v>
      </c>
      <c r="B49" s="115" t="s">
        <v>32</v>
      </c>
      <c r="C49" s="67" t="s">
        <v>43</v>
      </c>
      <c r="D49" s="120" t="str">
        <f t="shared" si="1"/>
        <v xml:space="preserve"> 도봉구청사-시설물유지관리</v>
      </c>
      <c r="E49" s="117">
        <v>169374000</v>
      </c>
      <c r="F49" s="117">
        <v>0</v>
      </c>
      <c r="G49" s="81">
        <f t="shared" si="2"/>
        <v>169374000</v>
      </c>
      <c r="H49" s="81">
        <v>115894230</v>
      </c>
      <c r="I49" s="81">
        <f t="shared" si="10"/>
        <v>53479770</v>
      </c>
      <c r="J49" s="118">
        <f t="shared" si="11"/>
        <v>0.31574958376138013</v>
      </c>
      <c r="K49" s="119"/>
      <c r="M49" s="111">
        <f t="shared" si="8"/>
        <v>1.5749583761380137E-2</v>
      </c>
      <c r="N49" s="36">
        <f t="shared" si="9"/>
        <v>2667569.9999999995</v>
      </c>
    </row>
    <row r="50" spans="1:14" s="35" customFormat="1" hidden="1">
      <c r="A50" s="116">
        <v>44</v>
      </c>
      <c r="B50" s="115" t="s">
        <v>33</v>
      </c>
      <c r="C50" s="67" t="s">
        <v>38</v>
      </c>
      <c r="D50" s="120" t="str">
        <f t="shared" si="1"/>
        <v xml:space="preserve"> 도봉보건소-기본경비</v>
      </c>
      <c r="E50" s="117">
        <v>7330000</v>
      </c>
      <c r="F50" s="117">
        <v>0</v>
      </c>
      <c r="G50" s="81">
        <f t="shared" si="2"/>
        <v>7330000</v>
      </c>
      <c r="H50" s="81">
        <v>3411060</v>
      </c>
      <c r="I50" s="81">
        <f t="shared" si="10"/>
        <v>3918940</v>
      </c>
      <c r="J50" s="118">
        <f t="shared" si="11"/>
        <v>0.53464392905866298</v>
      </c>
      <c r="K50" s="119"/>
      <c r="M50" s="111">
        <f t="shared" si="8"/>
        <v>0.23464392905866299</v>
      </c>
      <c r="N50" s="36">
        <f t="shared" si="9"/>
        <v>1719939.9999999998</v>
      </c>
    </row>
    <row r="51" spans="1:14" s="35" customFormat="1" hidden="1">
      <c r="A51" s="16">
        <v>45</v>
      </c>
      <c r="B51" s="52" t="s">
        <v>33</v>
      </c>
      <c r="C51" s="67" t="s">
        <v>43</v>
      </c>
      <c r="D51" s="89" t="str">
        <f t="shared" si="1"/>
        <v xml:space="preserve"> 도봉보건소-시설물유지관리</v>
      </c>
      <c r="E51" s="88">
        <v>38857000</v>
      </c>
      <c r="F51" s="88">
        <v>0</v>
      </c>
      <c r="G51" s="77">
        <f t="shared" si="2"/>
        <v>38857000</v>
      </c>
      <c r="H51" s="77">
        <v>29093430</v>
      </c>
      <c r="I51" s="77">
        <f t="shared" si="10"/>
        <v>9763570</v>
      </c>
      <c r="J51" s="27">
        <f t="shared" si="11"/>
        <v>0.25126926937231386</v>
      </c>
      <c r="K51" s="19"/>
      <c r="L51" s="20"/>
      <c r="M51" s="21">
        <f t="shared" si="8"/>
        <v>-4.8730730627686125E-2</v>
      </c>
      <c r="N51" s="36" t="str">
        <f t="shared" si="9"/>
        <v/>
      </c>
    </row>
    <row r="52" spans="1:14" s="20" customFormat="1" hidden="1">
      <c r="A52" s="16">
        <v>46</v>
      </c>
      <c r="B52" s="52" t="s">
        <v>34</v>
      </c>
      <c r="C52" s="67" t="s">
        <v>38</v>
      </c>
      <c r="D52" s="89" t="str">
        <f t="shared" si="1"/>
        <v xml:space="preserve"> 도봉다가치센터-기본경비</v>
      </c>
      <c r="E52" s="88">
        <v>5885000</v>
      </c>
      <c r="F52" s="88">
        <v>0</v>
      </c>
      <c r="G52" s="77">
        <f t="shared" si="2"/>
        <v>5885000</v>
      </c>
      <c r="H52" s="77">
        <v>4673740</v>
      </c>
      <c r="I52" s="77">
        <f t="shared" si="10"/>
        <v>1211260</v>
      </c>
      <c r="J52" s="27">
        <f t="shared" si="11"/>
        <v>0.20582158028887002</v>
      </c>
      <c r="K52" s="19"/>
      <c r="M52" s="21">
        <f t="shared" si="8"/>
        <v>-9.4178419711129974E-2</v>
      </c>
      <c r="N52" s="22" t="str">
        <f t="shared" si="9"/>
        <v/>
      </c>
    </row>
    <row r="53" spans="1:14" s="35" customFormat="1" hidden="1">
      <c r="A53" s="16">
        <v>47</v>
      </c>
      <c r="B53" s="52" t="s">
        <v>34</v>
      </c>
      <c r="C53" s="67" t="s">
        <v>43</v>
      </c>
      <c r="D53" s="89" t="str">
        <f t="shared" si="1"/>
        <v xml:space="preserve"> 도봉다가치센터-시설물유지관리</v>
      </c>
      <c r="E53" s="88">
        <v>38154000</v>
      </c>
      <c r="F53" s="88">
        <v>0</v>
      </c>
      <c r="G53" s="77">
        <f t="shared" si="2"/>
        <v>38154000</v>
      </c>
      <c r="H53" s="77">
        <v>29096760</v>
      </c>
      <c r="I53" s="77">
        <f t="shared" si="10"/>
        <v>9057240</v>
      </c>
      <c r="J53" s="27">
        <f t="shared" si="11"/>
        <v>0.23738638150652619</v>
      </c>
      <c r="K53" s="19"/>
      <c r="L53" s="20"/>
      <c r="M53" s="21">
        <f t="shared" si="8"/>
        <v>-6.2613618493473799E-2</v>
      </c>
      <c r="N53" s="36" t="str">
        <f t="shared" si="9"/>
        <v/>
      </c>
    </row>
    <row r="54" spans="1:14" s="35" customFormat="1" hidden="1">
      <c r="A54" s="116">
        <v>48</v>
      </c>
      <c r="B54" s="115" t="s">
        <v>35</v>
      </c>
      <c r="C54" s="67" t="s">
        <v>38</v>
      </c>
      <c r="D54" s="120" t="str">
        <f t="shared" si="1"/>
        <v xml:space="preserve"> 도봉통합복지센터-기본경비</v>
      </c>
      <c r="E54" s="117">
        <v>14209000</v>
      </c>
      <c r="F54" s="117">
        <v>508000</v>
      </c>
      <c r="G54" s="81">
        <f t="shared" si="2"/>
        <v>14717000</v>
      </c>
      <c r="H54" s="81">
        <v>6682800</v>
      </c>
      <c r="I54" s="81">
        <f t="shared" si="10"/>
        <v>8034200</v>
      </c>
      <c r="J54" s="118">
        <f t="shared" si="11"/>
        <v>0.54591288985526942</v>
      </c>
      <c r="K54" s="119"/>
      <c r="M54" s="111">
        <f t="shared" si="8"/>
        <v>0.24591288985526943</v>
      </c>
      <c r="N54" s="36">
        <f t="shared" si="9"/>
        <v>3619100.0000000005</v>
      </c>
    </row>
    <row r="55" spans="1:14" s="35" customFormat="1" hidden="1">
      <c r="A55" s="16">
        <v>49</v>
      </c>
      <c r="B55" s="52" t="s">
        <v>35</v>
      </c>
      <c r="C55" s="67" t="s">
        <v>43</v>
      </c>
      <c r="D55" s="89" t="str">
        <f t="shared" si="1"/>
        <v xml:space="preserve"> 도봉통합복지센터-시설물유지관리</v>
      </c>
      <c r="E55" s="88">
        <v>82730000</v>
      </c>
      <c r="F55" s="88">
        <v>0</v>
      </c>
      <c r="G55" s="77">
        <f t="shared" ref="G55:G61" si="12">E55+F55</f>
        <v>82730000</v>
      </c>
      <c r="H55" s="77">
        <v>64054500</v>
      </c>
      <c r="I55" s="77">
        <f t="shared" ref="I55:I61" si="13">G55-H55</f>
        <v>18675500</v>
      </c>
      <c r="J55" s="27">
        <f t="shared" ref="J55:J61" si="14">I55/G55</f>
        <v>0.22574036020790522</v>
      </c>
      <c r="K55" s="19"/>
      <c r="L55" s="20"/>
      <c r="M55" s="21">
        <f t="shared" si="8"/>
        <v>-7.4259639792094767E-2</v>
      </c>
      <c r="N55" s="36" t="str">
        <f t="shared" si="9"/>
        <v/>
      </c>
    </row>
    <row r="56" spans="1:14" s="35" customFormat="1">
      <c r="A56" s="116">
        <v>50</v>
      </c>
      <c r="B56" s="115" t="s">
        <v>36</v>
      </c>
      <c r="C56" s="67" t="s">
        <v>41</v>
      </c>
      <c r="D56" s="120" t="str">
        <f t="shared" si="1"/>
        <v xml:space="preserve"> 주차사업-인력운영비</v>
      </c>
      <c r="E56" s="117">
        <v>2229101000</v>
      </c>
      <c r="F56" s="117">
        <v>0</v>
      </c>
      <c r="G56" s="81">
        <f t="shared" si="12"/>
        <v>2229101000</v>
      </c>
      <c r="H56" s="81">
        <v>1519393555</v>
      </c>
      <c r="I56" s="81">
        <f t="shared" si="13"/>
        <v>709707445</v>
      </c>
      <c r="J56" s="118">
        <f t="shared" si="14"/>
        <v>0.31838281217405584</v>
      </c>
      <c r="K56" s="119" t="s">
        <v>73</v>
      </c>
      <c r="M56" s="111">
        <f t="shared" si="8"/>
        <v>1.8382812174055851E-2</v>
      </c>
      <c r="N56" s="36">
        <f t="shared" si="9"/>
        <v>40977145.000000075</v>
      </c>
    </row>
    <row r="57" spans="1:14" s="35" customFormat="1" hidden="1">
      <c r="A57" s="116">
        <v>51</v>
      </c>
      <c r="B57" s="115" t="s">
        <v>36</v>
      </c>
      <c r="C57" s="67" t="s">
        <v>44</v>
      </c>
      <c r="D57" s="120" t="str">
        <f t="shared" si="1"/>
        <v xml:space="preserve"> 주차사업-직원후생복지증진</v>
      </c>
      <c r="E57" s="117">
        <v>2550000</v>
      </c>
      <c r="F57" s="117">
        <v>0</v>
      </c>
      <c r="G57" s="81">
        <f t="shared" si="12"/>
        <v>2550000</v>
      </c>
      <c r="H57" s="81">
        <v>1136000</v>
      </c>
      <c r="I57" s="81">
        <f t="shared" si="13"/>
        <v>1414000</v>
      </c>
      <c r="J57" s="118">
        <f t="shared" si="14"/>
        <v>0.55450980392156868</v>
      </c>
      <c r="K57" s="119"/>
      <c r="M57" s="111">
        <f t="shared" si="8"/>
        <v>0.25450980392156869</v>
      </c>
      <c r="N57" s="36">
        <f t="shared" si="9"/>
        <v>649000.00000000012</v>
      </c>
    </row>
    <row r="58" spans="1:14" s="35" customFormat="1" hidden="1">
      <c r="A58" s="116">
        <v>52</v>
      </c>
      <c r="B58" s="115" t="s">
        <v>36</v>
      </c>
      <c r="C58" s="67" t="s">
        <v>38</v>
      </c>
      <c r="D58" s="120" t="str">
        <f t="shared" si="1"/>
        <v xml:space="preserve"> 주차사업-기본경비</v>
      </c>
      <c r="E58" s="117">
        <v>105260000</v>
      </c>
      <c r="F58" s="117">
        <v>0</v>
      </c>
      <c r="G58" s="81">
        <f t="shared" si="12"/>
        <v>105260000</v>
      </c>
      <c r="H58" s="81">
        <v>66963388</v>
      </c>
      <c r="I58" s="81">
        <f t="shared" si="13"/>
        <v>38296612</v>
      </c>
      <c r="J58" s="118">
        <f t="shared" si="14"/>
        <v>0.36382872886186585</v>
      </c>
      <c r="K58" s="119"/>
      <c r="M58" s="111">
        <f t="shared" si="8"/>
        <v>6.3828728861865858E-2</v>
      </c>
      <c r="N58" s="36">
        <f t="shared" si="9"/>
        <v>6718612</v>
      </c>
    </row>
    <row r="59" spans="1:14" s="35" customFormat="1" hidden="1">
      <c r="A59" s="16">
        <v>53</v>
      </c>
      <c r="B59" s="52" t="s">
        <v>36</v>
      </c>
      <c r="C59" s="67" t="s">
        <v>50</v>
      </c>
      <c r="D59" s="89" t="str">
        <f t="shared" si="1"/>
        <v xml:space="preserve"> 주차사업-주차장관리</v>
      </c>
      <c r="E59" s="88">
        <v>535763000</v>
      </c>
      <c r="F59" s="88">
        <v>60830000</v>
      </c>
      <c r="G59" s="77">
        <f t="shared" si="12"/>
        <v>596593000</v>
      </c>
      <c r="H59" s="77">
        <v>442991700</v>
      </c>
      <c r="I59" s="77">
        <f t="shared" si="13"/>
        <v>153601300</v>
      </c>
      <c r="J59" s="27">
        <f t="shared" si="14"/>
        <v>0.25746413383998806</v>
      </c>
      <c r="K59" s="63"/>
      <c r="L59" s="20"/>
      <c r="M59" s="21">
        <f t="shared" si="8"/>
        <v>-4.2535866160011926E-2</v>
      </c>
      <c r="N59" s="36" t="str">
        <f t="shared" si="9"/>
        <v/>
      </c>
    </row>
    <row r="60" spans="1:14" s="35" customFormat="1" hidden="1">
      <c r="A60" s="116">
        <v>54</v>
      </c>
      <c r="B60" s="115" t="s">
        <v>37</v>
      </c>
      <c r="C60" s="50" t="s">
        <v>39</v>
      </c>
      <c r="D60" s="120" t="str">
        <f t="shared" si="1"/>
        <v xml:space="preserve"> 도봉견인보관소-기본경비</v>
      </c>
      <c r="E60" s="117">
        <v>11943000</v>
      </c>
      <c r="F60" s="117">
        <v>0</v>
      </c>
      <c r="G60" s="81">
        <f t="shared" si="12"/>
        <v>11943000</v>
      </c>
      <c r="H60" s="81">
        <v>6162380</v>
      </c>
      <c r="I60" s="81">
        <f t="shared" si="13"/>
        <v>5780620</v>
      </c>
      <c r="J60" s="118">
        <f t="shared" si="14"/>
        <v>0.48401741605961651</v>
      </c>
      <c r="K60" s="119"/>
      <c r="M60" s="111">
        <f t="shared" si="8"/>
        <v>0.18401741605961652</v>
      </c>
      <c r="N60" s="36">
        <f t="shared" si="9"/>
        <v>2197720</v>
      </c>
    </row>
    <row r="61" spans="1:14" s="35" customFormat="1" hidden="1">
      <c r="A61" s="116">
        <v>55</v>
      </c>
      <c r="B61" s="115" t="s">
        <v>37</v>
      </c>
      <c r="C61" s="50" t="s">
        <v>52</v>
      </c>
      <c r="D61" s="120" t="str">
        <f t="shared" si="1"/>
        <v xml:space="preserve"> 도봉견인보관소-견인보관소및통합상황실운영</v>
      </c>
      <c r="E61" s="117">
        <v>18394000</v>
      </c>
      <c r="F61" s="117">
        <v>0</v>
      </c>
      <c r="G61" s="81">
        <f t="shared" si="12"/>
        <v>18394000</v>
      </c>
      <c r="H61" s="81">
        <v>9601720</v>
      </c>
      <c r="I61" s="81">
        <f t="shared" si="13"/>
        <v>8792280</v>
      </c>
      <c r="J61" s="118">
        <f t="shared" si="14"/>
        <v>0.47799717299119276</v>
      </c>
      <c r="K61" s="119"/>
      <c r="M61" s="111">
        <f t="shared" si="8"/>
        <v>0.17799717299119278</v>
      </c>
      <c r="N61" s="36">
        <f t="shared" si="9"/>
        <v>3274080</v>
      </c>
    </row>
    <row r="62" spans="1:14" hidden="1">
      <c r="A62" s="90"/>
      <c r="B62" s="90"/>
      <c r="C62" s="90"/>
      <c r="D62" s="90" t="s">
        <v>53</v>
      </c>
      <c r="E62" s="91">
        <f>SUM(E7:E61)</f>
        <v>26653396000</v>
      </c>
      <c r="F62" s="92">
        <f>SUM(F7:F61)</f>
        <v>558285000</v>
      </c>
      <c r="G62" s="91">
        <f>SUM(G7:G61)</f>
        <v>27211681000</v>
      </c>
      <c r="H62" s="91">
        <f>SUM(H7:H61)</f>
        <v>19038587400</v>
      </c>
      <c r="I62" s="91">
        <f t="shared" ref="I62:I63" si="15">G62-H62</f>
        <v>8173093600</v>
      </c>
      <c r="J62" s="93">
        <f t="shared" ref="J62" si="16">I62/G62</f>
        <v>0.30035239645797701</v>
      </c>
      <c r="K62" s="94"/>
      <c r="M62" s="21">
        <f t="shared" si="8"/>
        <v>3.5239645797702224E-4</v>
      </c>
      <c r="N62" s="22">
        <f t="shared" si="9"/>
        <v>9589300.0000006352</v>
      </c>
    </row>
    <row r="63" spans="1:14" hidden="1">
      <c r="E63" s="30">
        <v>26653396000</v>
      </c>
      <c r="F63" s="47">
        <v>558285000</v>
      </c>
      <c r="G63" s="3">
        <v>27211681000</v>
      </c>
      <c r="H63" s="3">
        <f>19038273910+187600+125890</f>
        <v>19038587400</v>
      </c>
      <c r="I63" s="3">
        <f t="shared" si="15"/>
        <v>8173093600</v>
      </c>
    </row>
    <row r="64" spans="1:14" hidden="1">
      <c r="E64" s="31">
        <f>E63-E62</f>
        <v>0</v>
      </c>
      <c r="F64" s="47">
        <f>F63-F62</f>
        <v>0</v>
      </c>
      <c r="G64" s="31">
        <f>G63-G62</f>
        <v>0</v>
      </c>
      <c r="H64" s="31">
        <f>H63-H62</f>
        <v>0</v>
      </c>
      <c r="I64" s="31">
        <f>I63-I62</f>
        <v>0</v>
      </c>
    </row>
  </sheetData>
  <autoFilter ref="A5:K64">
    <filterColumn colId="1">
      <filters>
        <filter val="경영지원팀"/>
        <filter val="주차사업"/>
      </filters>
    </filterColumn>
    <filterColumn colId="9">
      <colorFilter dxfId="0" cellColor="0"/>
    </filterColumn>
  </autoFilter>
  <mergeCells count="5">
    <mergeCell ref="A5:A6"/>
    <mergeCell ref="D5:D6"/>
    <mergeCell ref="K5:K6"/>
    <mergeCell ref="B5:B6"/>
    <mergeCell ref="C5:C6"/>
  </mergeCells>
  <phoneticPr fontId="6" type="noConversion"/>
  <conditionalFormatting sqref="J7:J91">
    <cfRule type="cellIs" dxfId="2" priority="2" operator="greaterThan">
      <formula>0.3</formula>
    </cfRule>
  </conditionalFormatting>
  <pageMargins left="0.31496062992125984" right="0.31496062992125984" top="0.55118110236220474" bottom="0.55118110236220474" header="0" footer="0"/>
  <pageSetup paperSize="9" scale="63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64"/>
  <sheetViews>
    <sheetView view="pageBreakPreview" zoomScaleNormal="100" zoomScaleSheetLayoutView="100" workbookViewId="0">
      <pane ySplit="5" topLeftCell="A15" activePane="bottomLeft" state="frozen"/>
      <selection pane="bottomLeft" activeCell="H31" sqref="H26:H31"/>
    </sheetView>
  </sheetViews>
  <sheetFormatPr defaultRowHeight="16.5"/>
  <cols>
    <col min="1" max="1" width="7.125" customWidth="1"/>
    <col min="2" max="2" width="23.625" bestFit="1" customWidth="1"/>
    <col min="3" max="3" width="24" hidden="1" customWidth="1"/>
    <col min="4" max="4" width="36.375" customWidth="1"/>
    <col min="5" max="5" width="17.25" customWidth="1"/>
    <col min="6" max="6" width="14.375" style="47" customWidth="1"/>
    <col min="7" max="7" width="14.375" customWidth="1"/>
    <col min="8" max="8" width="15.625" bestFit="1" customWidth="1"/>
    <col min="9" max="9" width="17" bestFit="1" customWidth="1"/>
    <col min="10" max="10" width="15" style="23" bestFit="1" customWidth="1"/>
    <col min="11" max="11" width="57" style="11" hidden="1" customWidth="1"/>
    <col min="12" max="12" width="12.125" bestFit="1" customWidth="1"/>
    <col min="13" max="13" width="8.5" style="10" customWidth="1"/>
    <col min="14" max="14" width="13" style="3" bestFit="1" customWidth="1"/>
  </cols>
  <sheetData>
    <row r="1" spans="1:14" ht="20.25">
      <c r="A1" s="4" t="s">
        <v>57</v>
      </c>
      <c r="B1" s="4"/>
      <c r="C1" s="4"/>
    </row>
    <row r="2" spans="1:14">
      <c r="A2" s="5" t="s">
        <v>58</v>
      </c>
      <c r="B2" s="5"/>
      <c r="C2" s="5"/>
    </row>
    <row r="3" spans="1:14" ht="17.25" thickBot="1">
      <c r="K3" s="12" t="s">
        <v>8</v>
      </c>
    </row>
    <row r="4" spans="1:14" ht="17.25" thickTop="1">
      <c r="A4" s="122" t="s">
        <v>0</v>
      </c>
      <c r="B4" s="124" t="s">
        <v>19</v>
      </c>
      <c r="C4" s="124" t="s">
        <v>54</v>
      </c>
      <c r="D4" s="124" t="s">
        <v>62</v>
      </c>
      <c r="E4" s="48" t="s">
        <v>10</v>
      </c>
      <c r="F4" s="65" t="s">
        <v>11</v>
      </c>
      <c r="G4" s="48" t="s">
        <v>2</v>
      </c>
      <c r="H4" s="48" t="s">
        <v>59</v>
      </c>
      <c r="I4" s="48" t="s">
        <v>60</v>
      </c>
      <c r="J4" s="24" t="s">
        <v>61</v>
      </c>
      <c r="K4" s="126" t="s">
        <v>15</v>
      </c>
    </row>
    <row r="5" spans="1:14" ht="17.25" thickBot="1">
      <c r="A5" s="123"/>
      <c r="B5" s="125"/>
      <c r="C5" s="125"/>
      <c r="D5" s="125"/>
      <c r="E5" s="49" t="s">
        <v>12</v>
      </c>
      <c r="F5" s="66" t="s">
        <v>13</v>
      </c>
      <c r="G5" s="2" t="s">
        <v>14</v>
      </c>
      <c r="H5" s="2" t="s">
        <v>4</v>
      </c>
      <c r="I5" s="2" t="s">
        <v>16</v>
      </c>
      <c r="J5" s="25" t="s">
        <v>7</v>
      </c>
      <c r="K5" s="127"/>
      <c r="N5" s="32"/>
    </row>
    <row r="6" spans="1:14" s="33" customFormat="1" ht="17.25" thickTop="1">
      <c r="A6" s="37">
        <v>1</v>
      </c>
      <c r="B6" s="56" t="s">
        <v>20</v>
      </c>
      <c r="C6" s="57" t="s">
        <v>39</v>
      </c>
      <c r="D6" s="38" t="str">
        <f>B6&amp;"-"&amp;C6</f>
        <v xml:space="preserve"> 열린혁신팀-기본경비</v>
      </c>
      <c r="E6" s="58">
        <v>34034000</v>
      </c>
      <c r="F6" s="58">
        <v>0</v>
      </c>
      <c r="G6" s="76">
        <f>E6+F6</f>
        <v>34034000</v>
      </c>
      <c r="H6" s="79">
        <v>18624870</v>
      </c>
      <c r="I6" s="76">
        <f>G6-H6</f>
        <v>15409130</v>
      </c>
      <c r="J6" s="39">
        <f>I6/G6</f>
        <v>0.4527569489334195</v>
      </c>
      <c r="K6" s="40"/>
      <c r="L6" s="41"/>
      <c r="M6" s="42"/>
      <c r="N6" s="34"/>
    </row>
    <row r="7" spans="1:14" s="33" customFormat="1">
      <c r="A7" s="43">
        <v>2</v>
      </c>
      <c r="B7" s="59" t="s">
        <v>20</v>
      </c>
      <c r="C7" s="60" t="s">
        <v>40</v>
      </c>
      <c r="D7" s="44" t="str">
        <f t="shared" ref="D7:D60" si="0">B7&amp;"-"&amp;C7</f>
        <v xml:space="preserve"> 열린혁신팀-사업운영비</v>
      </c>
      <c r="E7" s="61">
        <v>47954000</v>
      </c>
      <c r="F7" s="61">
        <v>0</v>
      </c>
      <c r="G7" s="75">
        <f t="shared" ref="G7:G60" si="1">E7+F7</f>
        <v>47954000</v>
      </c>
      <c r="H7" s="80">
        <v>24685033</v>
      </c>
      <c r="I7" s="75">
        <f t="shared" ref="I7:I61" si="2">G7-H7</f>
        <v>23268967</v>
      </c>
      <c r="J7" s="26">
        <f t="shared" ref="J7:J60" si="3">I7/G7</f>
        <v>0.48523516286441171</v>
      </c>
      <c r="K7" s="45"/>
      <c r="L7" s="41"/>
      <c r="M7" s="42"/>
      <c r="N7" s="34"/>
    </row>
    <row r="8" spans="1:14" s="20" customFormat="1">
      <c r="A8" s="13">
        <v>3</v>
      </c>
      <c r="B8" s="51" t="s">
        <v>20</v>
      </c>
      <c r="C8" s="60" t="s">
        <v>45</v>
      </c>
      <c r="D8" s="28" t="str">
        <f t="shared" si="0"/>
        <v xml:space="preserve"> 열린혁신팀-정보통신유지관리</v>
      </c>
      <c r="E8" s="53">
        <v>282029000</v>
      </c>
      <c r="F8" s="53">
        <v>-7818000</v>
      </c>
      <c r="G8" s="75">
        <f t="shared" si="1"/>
        <v>274211000</v>
      </c>
      <c r="H8" s="80">
        <v>242367921</v>
      </c>
      <c r="I8" s="75">
        <f t="shared" si="2"/>
        <v>31843079</v>
      </c>
      <c r="J8" s="26">
        <f t="shared" si="3"/>
        <v>0.11612619114477538</v>
      </c>
      <c r="K8" s="14"/>
      <c r="M8" s="21"/>
      <c r="N8" s="22"/>
    </row>
    <row r="9" spans="1:14" s="35" customFormat="1">
      <c r="A9" s="13">
        <v>4</v>
      </c>
      <c r="B9" s="51" t="s">
        <v>21</v>
      </c>
      <c r="C9" s="60" t="s">
        <v>41</v>
      </c>
      <c r="D9" s="28" t="str">
        <f t="shared" si="0"/>
        <v xml:space="preserve"> 경영지원팀-인력운영비</v>
      </c>
      <c r="E9" s="53">
        <v>16371837000</v>
      </c>
      <c r="F9" s="53">
        <v>0</v>
      </c>
      <c r="G9" s="75">
        <f t="shared" si="1"/>
        <v>16371837000</v>
      </c>
      <c r="H9" s="80">
        <v>11118469972</v>
      </c>
      <c r="I9" s="75">
        <f t="shared" si="2"/>
        <v>5253367028</v>
      </c>
      <c r="J9" s="26">
        <f t="shared" si="3"/>
        <v>0.32087828800152357</v>
      </c>
      <c r="K9" s="15"/>
      <c r="L9" s="20"/>
      <c r="M9" s="21"/>
      <c r="N9" s="36"/>
    </row>
    <row r="10" spans="1:14" s="35" customFormat="1" ht="110" customHeight="1">
      <c r="A10" s="13">
        <v>5</v>
      </c>
      <c r="B10" s="51" t="s">
        <v>21</v>
      </c>
      <c r="C10" s="60" t="s">
        <v>44</v>
      </c>
      <c r="D10" s="28" t="str">
        <f t="shared" si="0"/>
        <v xml:space="preserve"> 경영지원팀-직원후생복지증진</v>
      </c>
      <c r="E10" s="53">
        <v>127908000</v>
      </c>
      <c r="F10" s="53">
        <v>0</v>
      </c>
      <c r="G10" s="75">
        <f t="shared" si="1"/>
        <v>127908000</v>
      </c>
      <c r="H10" s="80">
        <v>126908000</v>
      </c>
      <c r="I10" s="75">
        <f t="shared" si="2"/>
        <v>1000000</v>
      </c>
      <c r="J10" s="26">
        <f t="shared" si="3"/>
        <v>0.007818119273227632</v>
      </c>
      <c r="K10" s="46" t="inlineStr">
        <is>
          <t xml:space="preserve">경영지원팀 - 직원후생복지증진 (연말까지 대부분 집행 예정)
○ 교육훈련비: 10~12월 위탁·법정교육 및 외부강사 교육비·여비·강사료 (24,680천원)
○ 노사워크숍 (2,000천원)
○ 4분기 정례조례 (1,100천원)
○ 하반기 직원 복리후생 사업 집행 (12,267천원)
※ 예상 불용액 1,000천원(0.8%): 교육비·행사비 정산 차액</t>
        </is>
      </c>
      <c r="L10" s="20"/>
      <c r="M10" s="21"/>
      <c r="N10" s="36"/>
    </row>
    <row r="11" spans="1:14" s="20" customFormat="1">
      <c r="A11" s="13">
        <v>6</v>
      </c>
      <c r="B11" s="51" t="s">
        <v>21</v>
      </c>
      <c r="C11" s="60" t="s">
        <v>38</v>
      </c>
      <c r="D11" s="28" t="str">
        <f t="shared" si="0"/>
        <v xml:space="preserve"> 경영지원팀-기본경비</v>
      </c>
      <c r="E11" s="53">
        <v>438823000</v>
      </c>
      <c r="F11" s="53">
        <v>0</v>
      </c>
      <c r="G11" s="75">
        <f t="shared" si="1"/>
        <v>438823000</v>
      </c>
      <c r="H11" s="80">
        <v>295287956</v>
      </c>
      <c r="I11" s="75">
        <f t="shared" si="2"/>
        <v>143535044</v>
      </c>
      <c r="J11" s="26">
        <f t="shared" si="3"/>
        <v>0.32709097745560284</v>
      </c>
      <c r="K11" s="14"/>
      <c r="M11" s="21"/>
      <c r="N11" s="22"/>
    </row>
    <row r="12" spans="1:14" s="35" customFormat="1">
      <c r="A12" s="13">
        <v>7</v>
      </c>
      <c r="B12" s="51" t="s">
        <v>21</v>
      </c>
      <c r="C12" s="60" t="s">
        <v>46</v>
      </c>
      <c r="D12" s="28" t="str">
        <f t="shared" si="0"/>
        <v xml:space="preserve"> 경영지원팀-기록관및정보공개운영</v>
      </c>
      <c r="E12" s="54">
        <v>7896000</v>
      </c>
      <c r="F12" s="53">
        <v>0</v>
      </c>
      <c r="G12" s="75">
        <f t="shared" si="1"/>
        <v>7896000</v>
      </c>
      <c r="H12" s="80">
        <v>2031000</v>
      </c>
      <c r="I12" s="75">
        <f t="shared" si="2"/>
        <v>5865000</v>
      </c>
      <c r="J12" s="26">
        <f t="shared" si="3"/>
        <v>0.74278115501519759</v>
      </c>
      <c r="K12" s="14"/>
      <c r="L12" s="20"/>
      <c r="M12" s="21"/>
      <c r="N12" s="36"/>
    </row>
    <row r="13" spans="1:14" s="20" customFormat="1">
      <c r="A13" s="13">
        <v>8</v>
      </c>
      <c r="B13" s="51" t="s">
        <v>21</v>
      </c>
      <c r="C13" s="60" t="s">
        <v>47</v>
      </c>
      <c r="D13" s="28" t="str">
        <f t="shared" si="0"/>
        <v xml:space="preserve"> 경영지원팀-건전재정운영</v>
      </c>
      <c r="E13" s="54">
        <v>7820000</v>
      </c>
      <c r="F13" s="53">
        <v>0</v>
      </c>
      <c r="G13" s="75">
        <f t="shared" si="1"/>
        <v>7820000</v>
      </c>
      <c r="H13" s="80">
        <v>7188000</v>
      </c>
      <c r="I13" s="75">
        <f t="shared" si="2"/>
        <v>632000</v>
      </c>
      <c r="J13" s="26">
        <f t="shared" si="3"/>
        <v>8.0818414322250634E-2</v>
      </c>
      <c r="K13" s="14"/>
      <c r="M13" s="21"/>
      <c r="N13" s="22"/>
    </row>
    <row r="14" spans="1:14" s="35" customFormat="1">
      <c r="A14" s="13">
        <v>9</v>
      </c>
      <c r="B14" s="51" t="s">
        <v>21</v>
      </c>
      <c r="C14" s="60" t="s">
        <v>42</v>
      </c>
      <c r="D14" s="28" t="str">
        <f t="shared" si="0"/>
        <v xml:space="preserve"> 경영지원팀-영업외활동</v>
      </c>
      <c r="E14" s="54">
        <v>5000000</v>
      </c>
      <c r="F14" s="53">
        <v>0</v>
      </c>
      <c r="G14" s="75">
        <f t="shared" si="1"/>
        <v>5000000</v>
      </c>
      <c r="H14" s="80">
        <v>5000000</v>
      </c>
      <c r="I14" s="75">
        <f t="shared" si="2"/>
        <v>0</v>
      </c>
      <c r="J14" s="26">
        <f t="shared" si="3"/>
        <v>0</v>
      </c>
      <c r="K14" s="15"/>
      <c r="L14" s="62"/>
      <c r="M14" s="21"/>
      <c r="N14" s="36"/>
    </row>
    <row r="15" spans="1:14" s="35" customFormat="1">
      <c r="A15" s="13">
        <v>10</v>
      </c>
      <c r="B15" s="51" t="s">
        <v>22</v>
      </c>
      <c r="C15" s="60" t="s">
        <v>38</v>
      </c>
      <c r="D15" s="28" t="str">
        <f>B15&amp;"-"&amp;C15</f>
        <v xml:space="preserve"> 안전감사팀-기본경비</v>
      </c>
      <c r="E15" s="53">
        <v>14430000</v>
      </c>
      <c r="F15" s="53">
        <v>0</v>
      </c>
      <c r="G15" s="75">
        <f>E15+F15</f>
        <v>14430000</v>
      </c>
      <c r="H15" s="80">
        <v>6621720</v>
      </c>
      <c r="I15" s="75">
        <f>G15-H15</f>
        <v>7808280</v>
      </c>
      <c r="J15" s="26">
        <f>I15/G15</f>
        <v>0.54111434511434509</v>
      </c>
      <c r="K15" s="46"/>
      <c r="L15" s="20"/>
      <c r="M15" s="21"/>
      <c r="N15" s="36"/>
    </row>
    <row r="16" spans="1:14" s="20" customFormat="1">
      <c r="A16" s="13">
        <v>11</v>
      </c>
      <c r="B16" s="51" t="s">
        <v>22</v>
      </c>
      <c r="C16" s="60" t="s">
        <v>48</v>
      </c>
      <c r="D16" s="28" t="str">
        <f>B16&amp;"-"&amp;C16</f>
        <v xml:space="preserve"> 안전감사팀-깨끗하고투명한공단구현</v>
      </c>
      <c r="E16" s="53">
        <v>6100000</v>
      </c>
      <c r="F16" s="53">
        <v>0</v>
      </c>
      <c r="G16" s="75">
        <f>E16+F16</f>
        <v>6100000</v>
      </c>
      <c r="H16" s="80">
        <v>3750000</v>
      </c>
      <c r="I16" s="75">
        <f>G16-H16</f>
        <v>2350000</v>
      </c>
      <c r="J16" s="26">
        <f>I16/G16</f>
        <v>0.38524590163934425</v>
      </c>
      <c r="K16" s="14"/>
      <c r="M16" s="21"/>
      <c r="N16" s="22"/>
    </row>
    <row r="17" spans="1:14" s="20" customFormat="1">
      <c r="A17" s="13">
        <v>12</v>
      </c>
      <c r="B17" s="51" t="s">
        <v>22</v>
      </c>
      <c r="C17" s="60" t="s">
        <v>49</v>
      </c>
      <c r="D17" s="28" t="str">
        <f>B17&amp;"-"&amp;C17</f>
        <v xml:space="preserve"> 안전감사팀-체계적인시설안전구축</v>
      </c>
      <c r="E17" s="53">
        <v>46847000</v>
      </c>
      <c r="F17" s="53">
        <v>0</v>
      </c>
      <c r="G17" s="75">
        <f>E17+F17</f>
        <v>46847000</v>
      </c>
      <c r="H17" s="80">
        <v>34515840</v>
      </c>
      <c r="I17" s="75">
        <f>G17-H17</f>
        <v>12331160</v>
      </c>
      <c r="J17" s="26">
        <f>I17/G17</f>
        <v>0.26322197792814905</v>
      </c>
      <c r="K17" s="15"/>
      <c r="M17" s="21"/>
      <c r="N17" s="22"/>
    </row>
    <row r="18" spans="1:14" s="35" customFormat="1">
      <c r="A18" s="13">
        <v>13</v>
      </c>
      <c r="B18" s="51" t="s">
        <v>23</v>
      </c>
      <c r="C18" s="60" t="s">
        <v>38</v>
      </c>
      <c r="D18" s="28" t="str">
        <f t="shared" si="0"/>
        <v xml:space="preserve"> 도봉구민회관-기본경비</v>
      </c>
      <c r="E18" s="53">
        <v>53024000</v>
      </c>
      <c r="F18" s="53">
        <v>0</v>
      </c>
      <c r="G18" s="75">
        <f t="shared" si="1"/>
        <v>53024000</v>
      </c>
      <c r="H18" s="80">
        <v>36890327</v>
      </c>
      <c r="I18" s="75">
        <f t="shared" si="2"/>
        <v>16133673</v>
      </c>
      <c r="J18" s="26">
        <f t="shared" si="3"/>
        <v>0.30427114136994571</v>
      </c>
      <c r="K18" s="14"/>
      <c r="L18" s="20"/>
      <c r="M18" s="21"/>
      <c r="N18" s="36"/>
    </row>
    <row r="19" spans="1:14" s="20" customFormat="1">
      <c r="A19" s="16">
        <v>14</v>
      </c>
      <c r="B19" s="52" t="s">
        <v>23</v>
      </c>
      <c r="C19" s="67" t="s">
        <v>43</v>
      </c>
      <c r="D19" s="28" t="str">
        <f t="shared" si="0"/>
        <v xml:space="preserve"> 도봉구민회관-시설물유지관리</v>
      </c>
      <c r="E19" s="55">
        <v>90871000</v>
      </c>
      <c r="F19" s="55">
        <v>8200000</v>
      </c>
      <c r="G19" s="77">
        <f t="shared" si="1"/>
        <v>99071000</v>
      </c>
      <c r="H19" s="81">
        <v>78150386</v>
      </c>
      <c r="I19" s="77">
        <f t="shared" si="2"/>
        <v>20920614</v>
      </c>
      <c r="J19" s="27">
        <f t="shared" si="3"/>
        <v>0.21116788969526906</v>
      </c>
      <c r="K19" s="17"/>
      <c r="M19" s="21"/>
      <c r="N19" s="22"/>
    </row>
    <row r="20" spans="1:14" s="20" customFormat="1">
      <c r="A20" s="13">
        <v>15</v>
      </c>
      <c r="B20" s="51" t="s">
        <v>23</v>
      </c>
      <c r="C20" s="60" t="s">
        <v>51</v>
      </c>
      <c r="D20" s="28" t="str">
        <f t="shared" si="0"/>
        <v xml:space="preserve"> 도봉구민회관-체육강좌운영</v>
      </c>
      <c r="E20" s="53">
        <v>234913000</v>
      </c>
      <c r="F20" s="53">
        <v>0</v>
      </c>
      <c r="G20" s="75">
        <f t="shared" si="1"/>
        <v>234913000</v>
      </c>
      <c r="H20" s="80">
        <v>215979263</v>
      </c>
      <c r="I20" s="75">
        <f t="shared" si="2"/>
        <v>18933737</v>
      </c>
      <c r="J20" s="26">
        <f t="shared" si="3"/>
        <v>8.0598932370707449E-2</v>
      </c>
      <c r="K20" s="18"/>
      <c r="M20" s="21"/>
      <c r="N20" s="22"/>
    </row>
    <row r="21" spans="1:14" s="35" customFormat="1">
      <c r="A21" s="13">
        <v>16</v>
      </c>
      <c r="B21" s="51" t="s">
        <v>24</v>
      </c>
      <c r="C21" s="60" t="s">
        <v>38</v>
      </c>
      <c r="D21" s="28" t="str">
        <f t="shared" si="0"/>
        <v xml:space="preserve"> 창동문화체육센터-기본경비</v>
      </c>
      <c r="E21" s="53">
        <v>86539000</v>
      </c>
      <c r="F21" s="53">
        <v>6794000</v>
      </c>
      <c r="G21" s="75">
        <f t="shared" si="1"/>
        <v>93333000</v>
      </c>
      <c r="H21" s="80">
        <v>53827570</v>
      </c>
      <c r="I21" s="75">
        <f t="shared" si="2"/>
        <v>39505430</v>
      </c>
      <c r="J21" s="26">
        <f t="shared" si="3"/>
        <v>0.42327397597848565</v>
      </c>
      <c r="K21" s="14"/>
      <c r="L21" s="20"/>
      <c r="M21" s="21"/>
      <c r="N21" s="36"/>
    </row>
    <row r="22" spans="1:14" s="20" customFormat="1">
      <c r="A22" s="16">
        <v>17</v>
      </c>
      <c r="B22" s="51" t="s">
        <v>24</v>
      </c>
      <c r="C22" s="60" t="s">
        <v>43</v>
      </c>
      <c r="D22" s="28" t="str">
        <f t="shared" si="0"/>
        <v xml:space="preserve"> 창동문화체육센터-시설물유지관리</v>
      </c>
      <c r="E22" s="53">
        <v>159925000</v>
      </c>
      <c r="F22" s="53">
        <v>14771000</v>
      </c>
      <c r="G22" s="75">
        <f t="shared" si="1"/>
        <v>174696000</v>
      </c>
      <c r="H22" s="80">
        <v>135658698</v>
      </c>
      <c r="I22" s="75">
        <f t="shared" si="2"/>
        <v>39037302</v>
      </c>
      <c r="J22" s="26">
        <f t="shared" si="3"/>
        <v>0.2234584764390713</v>
      </c>
      <c r="K22" s="14"/>
      <c r="M22" s="21"/>
      <c r="N22" s="22"/>
    </row>
    <row r="23" spans="1:14" s="20" customFormat="1">
      <c r="A23" s="13">
        <v>18</v>
      </c>
      <c r="B23" s="51" t="s">
        <v>24</v>
      </c>
      <c r="C23" s="60" t="s">
        <v>51</v>
      </c>
      <c r="D23" s="28" t="str">
        <f t="shared" si="0"/>
        <v xml:space="preserve"> 창동문화체육센터-체육강좌운영</v>
      </c>
      <c r="E23" s="53">
        <v>1853996000</v>
      </c>
      <c r="F23" s="53">
        <v>72304000</v>
      </c>
      <c r="G23" s="75">
        <f t="shared" si="1"/>
        <v>1926300000</v>
      </c>
      <c r="H23" s="80">
        <v>1469955364</v>
      </c>
      <c r="I23" s="75">
        <f t="shared" si="2"/>
        <v>456344636</v>
      </c>
      <c r="J23" s="26">
        <f t="shared" si="3"/>
        <v>0.23690216269532263</v>
      </c>
      <c r="K23" s="14"/>
      <c r="M23" s="21"/>
      <c r="N23" s="22"/>
    </row>
    <row r="24" spans="1:14" s="20" customFormat="1">
      <c r="A24" s="13">
        <v>19</v>
      </c>
      <c r="B24" s="52" t="s">
        <v>55</v>
      </c>
      <c r="C24" s="67" t="s">
        <v>38</v>
      </c>
      <c r="D24" s="28" t="str">
        <f>B24&amp;"-"&amp;C24</f>
        <v xml:space="preserve"> 창동유아스포츠-기본경비</v>
      </c>
      <c r="E24" s="55">
        <v>0</v>
      </c>
      <c r="F24" s="55">
        <v>2000000</v>
      </c>
      <c r="G24" s="77">
        <f>E24+F24</f>
        <v>2000000</v>
      </c>
      <c r="H24" s="81">
        <v>0</v>
      </c>
      <c r="I24" s="77">
        <f>G24-H24</f>
        <v>2000000</v>
      </c>
      <c r="J24" s="27">
        <f>I24/G24</f>
        <v>1</v>
      </c>
      <c r="K24" s="19"/>
      <c r="M24" s="21"/>
      <c r="N24" s="22"/>
    </row>
    <row r="25" spans="1:14" s="35" customFormat="1">
      <c r="A25" s="16">
        <v>20</v>
      </c>
      <c r="B25" s="52" t="s">
        <v>55</v>
      </c>
      <c r="C25" s="67" t="s">
        <v>51</v>
      </c>
      <c r="D25" s="29" t="str">
        <f>B25&amp;"-"&amp;C25</f>
        <v xml:space="preserve"> 창동유아스포츠-체육강좌운영</v>
      </c>
      <c r="E25" s="55">
        <v>0</v>
      </c>
      <c r="F25" s="55">
        <v>78205000</v>
      </c>
      <c r="G25" s="77">
        <f t="shared" si="1"/>
        <v>78205000</v>
      </c>
      <c r="H25" s="81">
        <v>45632280</v>
      </c>
      <c r="I25" s="77">
        <f t="shared" si="2"/>
        <v>32572720</v>
      </c>
      <c r="J25" s="27">
        <f t="shared" si="3"/>
        <v>0.41650431558084522</v>
      </c>
      <c r="K25" s="19"/>
      <c r="L25" s="20"/>
      <c r="M25" s="21"/>
      <c r="N25" s="36"/>
    </row>
    <row r="26" spans="1:14" s="20" customFormat="1">
      <c r="A26" s="16">
        <v>21</v>
      </c>
      <c r="B26" s="52" t="s">
        <v>25</v>
      </c>
      <c r="C26" s="67" t="s">
        <v>38</v>
      </c>
      <c r="D26" s="29" t="str">
        <f t="shared" si="0"/>
        <v xml:space="preserve"> 초안산배드민턴장-기본경비</v>
      </c>
      <c r="E26" s="55">
        <v>21195000</v>
      </c>
      <c r="F26" s="55">
        <v>0</v>
      </c>
      <c r="G26" s="77">
        <f t="shared" si="1"/>
        <v>21195000</v>
      </c>
      <c r="H26" s="81">
        <v>14953750</v>
      </c>
      <c r="I26" s="77">
        <f t="shared" si="2"/>
        <v>6241250</v>
      </c>
      <c r="J26" s="27">
        <f t="shared" si="3"/>
        <v>0.29446803491389478</v>
      </c>
      <c r="K26" s="19"/>
      <c r="M26" s="21"/>
      <c r="N26" s="22"/>
    </row>
    <row r="27" spans="1:14" s="20" customFormat="1">
      <c r="A27" s="16">
        <v>22</v>
      </c>
      <c r="B27" s="52" t="s">
        <v>25</v>
      </c>
      <c r="C27" s="67" t="s">
        <v>43</v>
      </c>
      <c r="D27" s="29" t="str">
        <f t="shared" si="0"/>
        <v xml:space="preserve"> 초안산배드민턴장-시설물유지관리</v>
      </c>
      <c r="E27" s="55">
        <v>8174000</v>
      </c>
      <c r="F27" s="55">
        <v>0</v>
      </c>
      <c r="G27" s="77">
        <f t="shared" si="1"/>
        <v>8174000</v>
      </c>
      <c r="H27" s="81">
        <v>5260060</v>
      </c>
      <c r="I27" s="77">
        <f t="shared" si="2"/>
        <v>2913940</v>
      </c>
      <c r="J27" s="27">
        <f t="shared" si="3"/>
        <v>0.35648886713971129</v>
      </c>
      <c r="K27" s="19"/>
      <c r="M27" s="21"/>
      <c r="N27" s="22"/>
    </row>
    <row r="28" spans="1:14" s="35" customFormat="1">
      <c r="A28" s="16">
        <v>23</v>
      </c>
      <c r="B28" s="52" t="s">
        <v>25</v>
      </c>
      <c r="C28" s="67" t="s">
        <v>51</v>
      </c>
      <c r="D28" s="29" t="str">
        <f t="shared" si="0"/>
        <v xml:space="preserve"> 초안산배드민턴장-체육강좌운영</v>
      </c>
      <c r="E28" s="55">
        <v>97113000</v>
      </c>
      <c r="F28" s="55">
        <v>18193000</v>
      </c>
      <c r="G28" s="77">
        <f t="shared" si="1"/>
        <v>115306000</v>
      </c>
      <c r="H28" s="81">
        <v>87669541</v>
      </c>
      <c r="I28" s="77">
        <f t="shared" si="2"/>
        <v>27636459</v>
      </c>
      <c r="J28" s="27">
        <f t="shared" si="3"/>
        <v>0.23967927948242068</v>
      </c>
      <c r="K28" s="19"/>
      <c r="L28" s="20"/>
      <c r="M28" s="21"/>
      <c r="N28" s="36"/>
    </row>
    <row r="29" spans="1:14" s="20" customFormat="1">
      <c r="A29" s="16">
        <v>24</v>
      </c>
      <c r="B29" s="52" t="s">
        <v>26</v>
      </c>
      <c r="C29" s="67" t="s">
        <v>38</v>
      </c>
      <c r="D29" s="29" t="str">
        <f t="shared" si="0"/>
        <v xml:space="preserve"> 창골운동장-기본경비</v>
      </c>
      <c r="E29" s="55">
        <v>16434000</v>
      </c>
      <c r="F29" s="55">
        <v>0</v>
      </c>
      <c r="G29" s="77">
        <f t="shared" si="1"/>
        <v>16434000</v>
      </c>
      <c r="H29" s="81">
        <v>9086700</v>
      </c>
      <c r="I29" s="77">
        <f t="shared" si="2"/>
        <v>7347300</v>
      </c>
      <c r="J29" s="27">
        <f t="shared" si="3"/>
        <v>0.44707922599488864</v>
      </c>
      <c r="K29" s="19"/>
      <c r="M29" s="21"/>
      <c r="N29" s="22"/>
    </row>
    <row r="30" spans="1:14" s="20" customFormat="1">
      <c r="A30" s="16">
        <v>25</v>
      </c>
      <c r="B30" s="52" t="s">
        <v>26</v>
      </c>
      <c r="C30" s="67" t="s">
        <v>43</v>
      </c>
      <c r="D30" s="29" t="str">
        <f t="shared" si="0"/>
        <v xml:space="preserve"> 창골운동장-시설물유지관리</v>
      </c>
      <c r="E30" s="55">
        <v>1440000</v>
      </c>
      <c r="F30" s="55">
        <v>0</v>
      </c>
      <c r="G30" s="77">
        <f t="shared" si="1"/>
        <v>1440000</v>
      </c>
      <c r="H30" s="81">
        <v>605000</v>
      </c>
      <c r="I30" s="77">
        <f t="shared" si="2"/>
        <v>835000</v>
      </c>
      <c r="J30" s="27">
        <f t="shared" si="3"/>
        <v>0.57986111111111116</v>
      </c>
      <c r="K30" s="19"/>
      <c r="M30" s="21"/>
      <c r="N30" s="22"/>
    </row>
    <row r="31" spans="1:14" s="20" customFormat="1">
      <c r="A31" s="16">
        <v>26</v>
      </c>
      <c r="B31" s="52" t="s">
        <v>26</v>
      </c>
      <c r="C31" s="67" t="s">
        <v>51</v>
      </c>
      <c r="D31" s="29" t="str">
        <f t="shared" si="0"/>
        <v xml:space="preserve"> 창골운동장-체육강좌운영</v>
      </c>
      <c r="E31" s="55">
        <v>54457000</v>
      </c>
      <c r="F31" s="55">
        <v>10080000</v>
      </c>
      <c r="G31" s="77">
        <f t="shared" si="1"/>
        <v>64537000</v>
      </c>
      <c r="H31" s="81">
        <v>44859193</v>
      </c>
      <c r="I31" s="77">
        <f t="shared" si="2"/>
        <v>19677807</v>
      </c>
      <c r="J31" s="27">
        <f t="shared" si="3"/>
        <v>0.30490737096549264</v>
      </c>
      <c r="K31" s="19"/>
      <c r="M31" s="21"/>
      <c r="N31" s="22"/>
    </row>
    <row r="32" spans="1:14" s="35" customFormat="1">
      <c r="A32" s="16">
        <v>27</v>
      </c>
      <c r="B32" s="52" t="s">
        <v>56</v>
      </c>
      <c r="C32" s="67" t="s">
        <v>51</v>
      </c>
      <c r="D32" s="29" t="str">
        <f t="shared" si="0"/>
        <v xml:space="preserve"> 창골엘리트체육-체육강좌운영</v>
      </c>
      <c r="E32" s="55">
        <v>0</v>
      </c>
      <c r="F32" s="55">
        <v>2000000</v>
      </c>
      <c r="G32" s="77">
        <f t="shared" si="1"/>
        <v>2000000</v>
      </c>
      <c r="H32" s="81">
        <v>2000000</v>
      </c>
      <c r="I32" s="77">
        <f t="shared" si="2"/>
        <v>0</v>
      </c>
      <c r="J32" s="27">
        <f t="shared" si="3"/>
        <v>0</v>
      </c>
      <c r="K32" s="63"/>
      <c r="L32" s="20"/>
      <c r="M32" s="21"/>
      <c r="N32" s="36"/>
    </row>
    <row r="33" spans="1:14" s="20" customFormat="1">
      <c r="A33" s="16">
        <v>28</v>
      </c>
      <c r="B33" s="52" t="s">
        <v>27</v>
      </c>
      <c r="C33" s="67" t="s">
        <v>38</v>
      </c>
      <c r="D33" s="29" t="str">
        <f t="shared" si="0"/>
        <v xml:space="preserve"> 다락원체육공원-기본경비</v>
      </c>
      <c r="E33" s="55">
        <v>90067000</v>
      </c>
      <c r="F33" s="55">
        <v>5430000</v>
      </c>
      <c r="G33" s="77">
        <f t="shared" si="1"/>
        <v>95497000</v>
      </c>
      <c r="H33" s="81">
        <v>65706270</v>
      </c>
      <c r="I33" s="77">
        <f t="shared" si="2"/>
        <v>29790730</v>
      </c>
      <c r="J33" s="27">
        <f t="shared" si="3"/>
        <v>0.31195461637538352</v>
      </c>
      <c r="K33" s="19"/>
      <c r="M33" s="21"/>
      <c r="N33" s="22"/>
    </row>
    <row r="34" spans="1:14" s="20" customFormat="1">
      <c r="A34" s="16">
        <v>29</v>
      </c>
      <c r="B34" s="52" t="s">
        <v>27</v>
      </c>
      <c r="C34" s="67" t="s">
        <v>43</v>
      </c>
      <c r="D34" s="29" t="str">
        <f t="shared" si="0"/>
        <v xml:space="preserve"> 다락원체육공원-시설물유지관리</v>
      </c>
      <c r="E34" s="55">
        <v>66440000</v>
      </c>
      <c r="F34" s="55">
        <v>0</v>
      </c>
      <c r="G34" s="77">
        <f t="shared" si="1"/>
        <v>66440000</v>
      </c>
      <c r="H34" s="81">
        <v>59579800</v>
      </c>
      <c r="I34" s="77">
        <f t="shared" si="2"/>
        <v>6860200</v>
      </c>
      <c r="J34" s="27">
        <f t="shared" si="3"/>
        <v>0.10325406381697773</v>
      </c>
      <c r="K34" s="19"/>
      <c r="M34" s="21"/>
      <c r="N34" s="22"/>
    </row>
    <row r="35" spans="1:14" s="20" customFormat="1">
      <c r="A35" s="16">
        <v>30</v>
      </c>
      <c r="B35" s="52" t="s">
        <v>27</v>
      </c>
      <c r="C35" s="67" t="s">
        <v>51</v>
      </c>
      <c r="D35" s="29" t="str">
        <f t="shared" si="0"/>
        <v xml:space="preserve"> 다락원체육공원-체육강좌운영</v>
      </c>
      <c r="E35" s="55">
        <v>469003000</v>
      </c>
      <c r="F35" s="55">
        <v>64659000</v>
      </c>
      <c r="G35" s="77">
        <f t="shared" si="1"/>
        <v>533662000</v>
      </c>
      <c r="H35" s="81">
        <v>396736610</v>
      </c>
      <c r="I35" s="77">
        <f t="shared" si="2"/>
        <v>136925390</v>
      </c>
      <c r="J35" s="27">
        <f t="shared" si="3"/>
        <v>0.25657699067949374</v>
      </c>
      <c r="K35" s="19"/>
      <c r="M35" s="21"/>
      <c r="N35" s="22"/>
    </row>
    <row r="36" spans="1:14" s="35" customFormat="1">
      <c r="A36" s="16">
        <v>31</v>
      </c>
      <c r="B36" s="52" t="s">
        <v>28</v>
      </c>
      <c r="C36" s="67" t="s">
        <v>38</v>
      </c>
      <c r="D36" s="29" t="str">
        <f t="shared" si="0"/>
        <v xml:space="preserve"> 도봉동실내스포츠센터-기본경비</v>
      </c>
      <c r="E36" s="55">
        <v>65993000</v>
      </c>
      <c r="F36" s="55">
        <v>1248000</v>
      </c>
      <c r="G36" s="77">
        <f t="shared" si="1"/>
        <v>67241000</v>
      </c>
      <c r="H36" s="81">
        <v>43853920</v>
      </c>
      <c r="I36" s="77">
        <f t="shared" si="2"/>
        <v>23387080</v>
      </c>
      <c r="J36" s="27">
        <f t="shared" si="3"/>
        <v>0.34780981841436026</v>
      </c>
      <c r="K36" s="63"/>
      <c r="L36" s="20"/>
      <c r="M36" s="21"/>
      <c r="N36" s="36"/>
    </row>
    <row r="37" spans="1:14" s="20" customFormat="1">
      <c r="A37" s="16">
        <v>32</v>
      </c>
      <c r="B37" s="52" t="s">
        <v>28</v>
      </c>
      <c r="C37" s="67" t="s">
        <v>43</v>
      </c>
      <c r="D37" s="29" t="str">
        <f t="shared" si="0"/>
        <v xml:space="preserve"> 도봉동실내스포츠센터-시설물유지관리</v>
      </c>
      <c r="E37" s="55">
        <v>72045000</v>
      </c>
      <c r="F37" s="55">
        <v>11830000</v>
      </c>
      <c r="G37" s="77">
        <f t="shared" si="1"/>
        <v>83875000</v>
      </c>
      <c r="H37" s="81">
        <v>60512560</v>
      </c>
      <c r="I37" s="77">
        <f t="shared" si="2"/>
        <v>23362440</v>
      </c>
      <c r="J37" s="27">
        <f t="shared" si="3"/>
        <v>0.27853877794336812</v>
      </c>
      <c r="K37" s="19"/>
      <c r="M37" s="21"/>
      <c r="N37" s="22"/>
    </row>
    <row r="38" spans="1:14" s="20" customFormat="1">
      <c r="A38" s="16">
        <v>33</v>
      </c>
      <c r="B38" s="52" t="s">
        <v>28</v>
      </c>
      <c r="C38" s="67" t="s">
        <v>51</v>
      </c>
      <c r="D38" s="29" t="str">
        <f t="shared" si="0"/>
        <v xml:space="preserve"> 도봉동실내스포츠센터-체육강좌운영</v>
      </c>
      <c r="E38" s="55">
        <v>983107000</v>
      </c>
      <c r="F38" s="55">
        <v>62447000</v>
      </c>
      <c r="G38" s="77">
        <f t="shared" si="1"/>
        <v>1045554000</v>
      </c>
      <c r="H38" s="81">
        <v>800992066</v>
      </c>
      <c r="I38" s="77">
        <f t="shared" si="2"/>
        <v>244561934</v>
      </c>
      <c r="J38" s="27">
        <f t="shared" si="3"/>
        <v>0.23390655480252573</v>
      </c>
      <c r="K38" s="19"/>
      <c r="M38" s="21"/>
      <c r="N38" s="22"/>
    </row>
    <row r="39" spans="1:14" s="20" customFormat="1">
      <c r="A39" s="16">
        <v>34</v>
      </c>
      <c r="B39" s="52" t="s">
        <v>29</v>
      </c>
      <c r="C39" s="67" t="s">
        <v>38</v>
      </c>
      <c r="D39" s="29" t="str">
        <f t="shared" si="0"/>
        <v xml:space="preserve"> 도봉동실내스포츠센터 별관-기본경비</v>
      </c>
      <c r="E39" s="55">
        <v>63588000</v>
      </c>
      <c r="F39" s="55">
        <v>0</v>
      </c>
      <c r="G39" s="77">
        <f t="shared" si="1"/>
        <v>63588000</v>
      </c>
      <c r="H39" s="81">
        <v>45858020</v>
      </c>
      <c r="I39" s="77">
        <f t="shared" si="2"/>
        <v>17729980</v>
      </c>
      <c r="J39" s="27">
        <f t="shared" si="3"/>
        <v>0.27882587909668494</v>
      </c>
      <c r="K39" s="19"/>
      <c r="M39" s="21"/>
      <c r="N39" s="22"/>
    </row>
    <row r="40" spans="1:14" s="20" customFormat="1">
      <c r="A40" s="16">
        <v>35</v>
      </c>
      <c r="B40" s="52" t="s">
        <v>29</v>
      </c>
      <c r="C40" s="67" t="s">
        <v>43</v>
      </c>
      <c r="D40" s="29" t="str">
        <f t="shared" si="0"/>
        <v xml:space="preserve"> 도봉동실내스포츠센터 별관-시설물유지관리</v>
      </c>
      <c r="E40" s="55">
        <v>6400000</v>
      </c>
      <c r="F40" s="55">
        <v>0</v>
      </c>
      <c r="G40" s="77">
        <f t="shared" si="1"/>
        <v>6400000</v>
      </c>
      <c r="H40" s="81">
        <v>337700</v>
      </c>
      <c r="I40" s="77">
        <f t="shared" si="2"/>
        <v>6062300</v>
      </c>
      <c r="J40" s="27">
        <f t="shared" si="3"/>
        <v>0.94723437499999996</v>
      </c>
      <c r="K40" s="19"/>
      <c r="M40" s="21"/>
      <c r="N40" s="22"/>
    </row>
    <row r="41" spans="1:14" s="20" customFormat="1">
      <c r="A41" s="16">
        <v>36</v>
      </c>
      <c r="B41" s="52" t="s">
        <v>29</v>
      </c>
      <c r="C41" s="67" t="s">
        <v>51</v>
      </c>
      <c r="D41" s="29" t="str">
        <f t="shared" si="0"/>
        <v xml:space="preserve"> 도봉동실내스포츠센터 별관-체육강좌운영</v>
      </c>
      <c r="E41" s="55">
        <v>273689000</v>
      </c>
      <c r="F41" s="55">
        <v>46207000</v>
      </c>
      <c r="G41" s="77">
        <f t="shared" si="1"/>
        <v>319896000</v>
      </c>
      <c r="H41" s="81">
        <v>244879469</v>
      </c>
      <c r="I41" s="77">
        <f t="shared" si="2"/>
        <v>75016531</v>
      </c>
      <c r="J41" s="27">
        <f t="shared" si="3"/>
        <v>0.2345028728086628</v>
      </c>
      <c r="K41" s="19"/>
      <c r="M41" s="21"/>
      <c r="N41" s="22"/>
    </row>
    <row r="42" spans="1:14" s="20" customFormat="1">
      <c r="A42" s="16">
        <v>37</v>
      </c>
      <c r="B42" s="52" t="s">
        <v>30</v>
      </c>
      <c r="C42" s="67" t="s">
        <v>38</v>
      </c>
      <c r="D42" s="29" t="str">
        <f t="shared" si="0"/>
        <v xml:space="preserve"> 쌍문종합체육센터-기본경비</v>
      </c>
      <c r="E42" s="55">
        <v>72710000</v>
      </c>
      <c r="F42" s="55">
        <v>0</v>
      </c>
      <c r="G42" s="77">
        <f t="shared" si="1"/>
        <v>72710000</v>
      </c>
      <c r="H42" s="81">
        <v>46703610</v>
      </c>
      <c r="I42" s="77">
        <f t="shared" si="2"/>
        <v>26006390</v>
      </c>
      <c r="J42" s="27">
        <f t="shared" si="3"/>
        <v>0.35767280979232569</v>
      </c>
      <c r="K42" s="19"/>
      <c r="M42" s="21"/>
      <c r="N42" s="22"/>
    </row>
    <row r="43" spans="1:14" s="35" customFormat="1">
      <c r="A43" s="16">
        <v>38</v>
      </c>
      <c r="B43" s="52" t="s">
        <v>30</v>
      </c>
      <c r="C43" s="67" t="s">
        <v>43</v>
      </c>
      <c r="D43" s="29" t="str">
        <f t="shared" si="0"/>
        <v xml:space="preserve"> 쌍문종합체육센터-시설물유지관리</v>
      </c>
      <c r="E43" s="55">
        <v>50672000</v>
      </c>
      <c r="F43" s="55">
        <v>6520000</v>
      </c>
      <c r="G43" s="77">
        <f t="shared" si="1"/>
        <v>57192000</v>
      </c>
      <c r="H43" s="81">
        <v>26020660</v>
      </c>
      <c r="I43" s="77">
        <f t="shared" si="2"/>
        <v>31171340</v>
      </c>
      <c r="J43" s="27">
        <f t="shared" si="3"/>
        <v>0.54502972443698416</v>
      </c>
      <c r="K43" s="19"/>
      <c r="L43" s="20"/>
      <c r="M43" s="21"/>
      <c r="N43" s="36"/>
    </row>
    <row r="44" spans="1:14" s="35" customFormat="1">
      <c r="A44" s="16">
        <v>39</v>
      </c>
      <c r="B44" s="52" t="s">
        <v>30</v>
      </c>
      <c r="C44" s="67" t="s">
        <v>51</v>
      </c>
      <c r="D44" s="29" t="str">
        <f t="shared" si="0"/>
        <v xml:space="preserve"> 쌍문종합체육센터-체육강좌운영</v>
      </c>
      <c r="E44" s="55">
        <v>924305000</v>
      </c>
      <c r="F44" s="55">
        <v>91877000</v>
      </c>
      <c r="G44" s="77">
        <f t="shared" si="1"/>
        <v>1016182000</v>
      </c>
      <c r="H44" s="81">
        <v>767316348</v>
      </c>
      <c r="I44" s="77">
        <f t="shared" si="2"/>
        <v>248865652</v>
      </c>
      <c r="J44" s="27">
        <f t="shared" si="3"/>
        <v>0.24490263751965691</v>
      </c>
      <c r="K44" s="19"/>
      <c r="L44" s="20"/>
      <c r="M44" s="21"/>
      <c r="N44" s="36"/>
    </row>
    <row r="45" spans="1:14" s="20" customFormat="1">
      <c r="A45" s="16">
        <v>40</v>
      </c>
      <c r="B45" s="52" t="s">
        <v>31</v>
      </c>
      <c r="C45" s="67" t="s">
        <v>38</v>
      </c>
      <c r="D45" s="29" t="str">
        <f t="shared" si="0"/>
        <v xml:space="preserve"> 행정지원센터-기본경비</v>
      </c>
      <c r="E45" s="55">
        <v>14362000</v>
      </c>
      <c r="F45" s="55">
        <v>0</v>
      </c>
      <c r="G45" s="77">
        <f t="shared" si="1"/>
        <v>14362000</v>
      </c>
      <c r="H45" s="81">
        <v>10844610</v>
      </c>
      <c r="I45" s="77">
        <f t="shared" si="2"/>
        <v>3517390</v>
      </c>
      <c r="J45" s="27">
        <f t="shared" si="3"/>
        <v>0.24490948335886367</v>
      </c>
      <c r="K45" s="19"/>
      <c r="M45" s="21"/>
      <c r="N45" s="22"/>
    </row>
    <row r="46" spans="1:14" s="35" customFormat="1">
      <c r="A46" s="16">
        <v>41</v>
      </c>
      <c r="B46" s="52" t="s">
        <v>31</v>
      </c>
      <c r="C46" s="67" t="s">
        <v>43</v>
      </c>
      <c r="D46" s="29" t="str">
        <f t="shared" si="0"/>
        <v xml:space="preserve"> 행정지원센터-시설물유지관리</v>
      </c>
      <c r="E46" s="55">
        <v>63591000</v>
      </c>
      <c r="F46" s="55">
        <v>0</v>
      </c>
      <c r="G46" s="77">
        <f t="shared" si="1"/>
        <v>63591000</v>
      </c>
      <c r="H46" s="81">
        <v>45956040</v>
      </c>
      <c r="I46" s="77">
        <f t="shared" si="2"/>
        <v>17634960</v>
      </c>
      <c r="J46" s="27">
        <f t="shared" si="3"/>
        <v>0.27731848846534884</v>
      </c>
      <c r="K46" s="19"/>
      <c r="L46" s="20"/>
      <c r="M46" s="21"/>
      <c r="N46" s="36"/>
    </row>
    <row r="47" spans="1:14" s="20" customFormat="1">
      <c r="A47" s="16">
        <v>42</v>
      </c>
      <c r="B47" s="52" t="s">
        <v>32</v>
      </c>
      <c r="C47" s="67" t="s">
        <v>38</v>
      </c>
      <c r="D47" s="29" t="str">
        <f t="shared" si="0"/>
        <v xml:space="preserve"> 도봉구청사-기본경비</v>
      </c>
      <c r="E47" s="55">
        <v>109115000</v>
      </c>
      <c r="F47" s="55">
        <v>2000000</v>
      </c>
      <c r="G47" s="77">
        <f t="shared" si="1"/>
        <v>111115000</v>
      </c>
      <c r="H47" s="81">
        <v>78202800</v>
      </c>
      <c r="I47" s="77">
        <f t="shared" si="2"/>
        <v>32912200</v>
      </c>
      <c r="J47" s="27">
        <f t="shared" si="3"/>
        <v>0.2961994330198443</v>
      </c>
      <c r="K47" s="19"/>
      <c r="M47" s="21"/>
      <c r="N47" s="22"/>
    </row>
    <row r="48" spans="1:14" s="35" customFormat="1">
      <c r="A48" s="16">
        <v>43</v>
      </c>
      <c r="B48" s="52" t="s">
        <v>32</v>
      </c>
      <c r="C48" s="67" t="s">
        <v>43</v>
      </c>
      <c r="D48" s="29" t="str">
        <f t="shared" si="0"/>
        <v xml:space="preserve"> 도봉구청사-시설물유지관리</v>
      </c>
      <c r="E48" s="55">
        <v>169374000</v>
      </c>
      <c r="F48" s="55">
        <v>0</v>
      </c>
      <c r="G48" s="77">
        <f t="shared" si="1"/>
        <v>169374000</v>
      </c>
      <c r="H48" s="81">
        <v>115894230</v>
      </c>
      <c r="I48" s="77">
        <f t="shared" si="2"/>
        <v>53479770</v>
      </c>
      <c r="J48" s="27">
        <f t="shared" si="3"/>
        <v>0.31574958376138013</v>
      </c>
      <c r="K48" s="19"/>
      <c r="L48" s="20"/>
      <c r="M48" s="21"/>
      <c r="N48" s="36"/>
    </row>
    <row r="49" spans="1:14" s="35" customFormat="1">
      <c r="A49" s="16">
        <v>44</v>
      </c>
      <c r="B49" s="52" t="s">
        <v>33</v>
      </c>
      <c r="C49" s="67" t="s">
        <v>38</v>
      </c>
      <c r="D49" s="29" t="str">
        <f t="shared" si="0"/>
        <v xml:space="preserve"> 도봉보건소-기본경비</v>
      </c>
      <c r="E49" s="55">
        <v>7330000</v>
      </c>
      <c r="F49" s="55">
        <v>0</v>
      </c>
      <c r="G49" s="77">
        <f t="shared" si="1"/>
        <v>7330000</v>
      </c>
      <c r="H49" s="81">
        <v>3411060</v>
      </c>
      <c r="I49" s="77">
        <f t="shared" si="2"/>
        <v>3918940</v>
      </c>
      <c r="J49" s="27">
        <f t="shared" si="3"/>
        <v>0.53464392905866298</v>
      </c>
      <c r="K49" s="19"/>
      <c r="L49" s="20"/>
      <c r="M49" s="21"/>
      <c r="N49" s="36"/>
    </row>
    <row r="50" spans="1:14" s="35" customFormat="1">
      <c r="A50" s="16">
        <v>45</v>
      </c>
      <c r="B50" s="52" t="s">
        <v>33</v>
      </c>
      <c r="C50" s="67" t="s">
        <v>43</v>
      </c>
      <c r="D50" s="29" t="str">
        <f t="shared" si="0"/>
        <v xml:space="preserve"> 도봉보건소-시설물유지관리</v>
      </c>
      <c r="E50" s="55">
        <v>38857000</v>
      </c>
      <c r="F50" s="55">
        <v>0</v>
      </c>
      <c r="G50" s="77">
        <f t="shared" si="1"/>
        <v>38857000</v>
      </c>
      <c r="H50" s="81">
        <v>29093430</v>
      </c>
      <c r="I50" s="77">
        <f t="shared" si="2"/>
        <v>9763570</v>
      </c>
      <c r="J50" s="27">
        <f t="shared" si="3"/>
        <v>0.25126926937231386</v>
      </c>
      <c r="K50" s="19"/>
      <c r="L50" s="20"/>
      <c r="M50" s="21"/>
      <c r="N50" s="36"/>
    </row>
    <row r="51" spans="1:14" s="20" customFormat="1">
      <c r="A51" s="16">
        <v>46</v>
      </c>
      <c r="B51" s="52" t="s">
        <v>34</v>
      </c>
      <c r="C51" s="67" t="s">
        <v>38</v>
      </c>
      <c r="D51" s="29" t="str">
        <f t="shared" si="0"/>
        <v xml:space="preserve"> 도봉다가치센터-기본경비</v>
      </c>
      <c r="E51" s="55">
        <v>5885000</v>
      </c>
      <c r="F51" s="55">
        <v>0</v>
      </c>
      <c r="G51" s="77">
        <f t="shared" si="1"/>
        <v>5885000</v>
      </c>
      <c r="H51" s="81">
        <v>4673740</v>
      </c>
      <c r="I51" s="77">
        <f t="shared" si="2"/>
        <v>1211260</v>
      </c>
      <c r="J51" s="27">
        <f t="shared" si="3"/>
        <v>0.20582158028887002</v>
      </c>
      <c r="K51" s="19"/>
      <c r="M51" s="21"/>
      <c r="N51" s="22"/>
    </row>
    <row r="52" spans="1:14" s="35" customFormat="1">
      <c r="A52" s="16">
        <v>47</v>
      </c>
      <c r="B52" s="52" t="s">
        <v>34</v>
      </c>
      <c r="C52" s="67" t="s">
        <v>43</v>
      </c>
      <c r="D52" s="29" t="str">
        <f t="shared" si="0"/>
        <v xml:space="preserve"> 도봉다가치센터-시설물유지관리</v>
      </c>
      <c r="E52" s="55">
        <v>38154000</v>
      </c>
      <c r="F52" s="55">
        <v>0</v>
      </c>
      <c r="G52" s="77">
        <f t="shared" si="1"/>
        <v>38154000</v>
      </c>
      <c r="H52" s="81">
        <v>29096760</v>
      </c>
      <c r="I52" s="77">
        <f t="shared" si="2"/>
        <v>9057240</v>
      </c>
      <c r="J52" s="27">
        <f t="shared" si="3"/>
        <v>0.23738638150652619</v>
      </c>
      <c r="K52" s="19"/>
      <c r="L52" s="20"/>
      <c r="M52" s="21"/>
      <c r="N52" s="36"/>
    </row>
    <row r="53" spans="1:14" s="20" customFormat="1">
      <c r="A53" s="16">
        <v>48</v>
      </c>
      <c r="B53" s="52" t="s">
        <v>35</v>
      </c>
      <c r="C53" s="67" t="s">
        <v>38</v>
      </c>
      <c r="D53" s="29" t="str">
        <f t="shared" si="0"/>
        <v xml:space="preserve"> 도봉통합복지센터-기본경비</v>
      </c>
      <c r="E53" s="55">
        <v>14209000</v>
      </c>
      <c r="F53" s="55">
        <v>508000</v>
      </c>
      <c r="G53" s="77">
        <f t="shared" si="1"/>
        <v>14717000</v>
      </c>
      <c r="H53" s="81">
        <v>6682800</v>
      </c>
      <c r="I53" s="77">
        <f t="shared" si="2"/>
        <v>8034200</v>
      </c>
      <c r="J53" s="27">
        <f t="shared" si="3"/>
        <v>0.54591288985526942</v>
      </c>
      <c r="K53" s="19"/>
      <c r="M53" s="21"/>
      <c r="N53" s="22"/>
    </row>
    <row r="54" spans="1:14" s="35" customFormat="1">
      <c r="A54" s="16">
        <v>49</v>
      </c>
      <c r="B54" s="52" t="s">
        <v>35</v>
      </c>
      <c r="C54" s="67" t="s">
        <v>43</v>
      </c>
      <c r="D54" s="29" t="str">
        <f t="shared" si="0"/>
        <v xml:space="preserve"> 도봉통합복지센터-시설물유지관리</v>
      </c>
      <c r="E54" s="55">
        <v>82730000</v>
      </c>
      <c r="F54" s="55">
        <v>0</v>
      </c>
      <c r="G54" s="77">
        <f t="shared" si="1"/>
        <v>82730000</v>
      </c>
      <c r="H54" s="81">
        <v>64054500</v>
      </c>
      <c r="I54" s="77">
        <f t="shared" si="2"/>
        <v>18675500</v>
      </c>
      <c r="J54" s="27">
        <f t="shared" si="3"/>
        <v>0.22574036020790522</v>
      </c>
      <c r="K54" s="19"/>
      <c r="L54" s="20"/>
      <c r="M54" s="21"/>
      <c r="N54" s="36"/>
    </row>
    <row r="55" spans="1:14" s="20" customFormat="1">
      <c r="A55" s="16">
        <v>50</v>
      </c>
      <c r="B55" s="52" t="s">
        <v>36</v>
      </c>
      <c r="C55" s="67" t="s">
        <v>41</v>
      </c>
      <c r="D55" s="29" t="str">
        <f t="shared" si="0"/>
        <v xml:space="preserve"> 주차사업-인력운영비</v>
      </c>
      <c r="E55" s="55">
        <v>2229101000</v>
      </c>
      <c r="F55" s="55">
        <v>0</v>
      </c>
      <c r="G55" s="77">
        <f t="shared" si="1"/>
        <v>2229101000</v>
      </c>
      <c r="H55" s="81">
        <v>1519393555</v>
      </c>
      <c r="I55" s="77">
        <f t="shared" si="2"/>
        <v>709707445</v>
      </c>
      <c r="J55" s="27">
        <f t="shared" si="3"/>
        <v>0.31838281217405584</v>
      </c>
      <c r="K55" s="19"/>
      <c r="M55" s="21"/>
      <c r="N55" s="22"/>
    </row>
    <row r="56" spans="1:14" s="20" customFormat="1">
      <c r="A56" s="16">
        <v>51</v>
      </c>
      <c r="B56" s="52" t="s">
        <v>36</v>
      </c>
      <c r="C56" s="67" t="s">
        <v>44</v>
      </c>
      <c r="D56" s="29" t="str">
        <f t="shared" si="0"/>
        <v xml:space="preserve"> 주차사업-직원후생복지증진</v>
      </c>
      <c r="E56" s="55">
        <v>2550000</v>
      </c>
      <c r="F56" s="55">
        <v>0</v>
      </c>
      <c r="G56" s="77">
        <f t="shared" si="1"/>
        <v>2550000</v>
      </c>
      <c r="H56" s="81">
        <v>1136000</v>
      </c>
      <c r="I56" s="77">
        <f t="shared" si="2"/>
        <v>1414000</v>
      </c>
      <c r="J56" s="27">
        <f t="shared" si="3"/>
        <v>0.55450980392156868</v>
      </c>
      <c r="K56" s="19"/>
      <c r="M56" s="21"/>
      <c r="N56" s="22"/>
    </row>
    <row r="57" spans="1:14" s="20" customFormat="1">
      <c r="A57" s="16">
        <v>52</v>
      </c>
      <c r="B57" s="52" t="s">
        <v>36</v>
      </c>
      <c r="C57" s="67" t="s">
        <v>38</v>
      </c>
      <c r="D57" s="29" t="str">
        <f t="shared" si="0"/>
        <v xml:space="preserve"> 주차사업-기본경비</v>
      </c>
      <c r="E57" s="55">
        <v>105260000</v>
      </c>
      <c r="F57" s="55">
        <v>0</v>
      </c>
      <c r="G57" s="77">
        <f t="shared" si="1"/>
        <v>105260000</v>
      </c>
      <c r="H57" s="81">
        <v>66963388</v>
      </c>
      <c r="I57" s="77">
        <f t="shared" si="2"/>
        <v>38296612</v>
      </c>
      <c r="J57" s="27">
        <f t="shared" si="3"/>
        <v>0.36382872886186585</v>
      </c>
      <c r="K57" s="19"/>
      <c r="M57" s="21"/>
      <c r="N57" s="22"/>
    </row>
    <row r="58" spans="1:14" s="35" customFormat="1">
      <c r="A58" s="16">
        <v>53</v>
      </c>
      <c r="B58" s="52" t="s">
        <v>36</v>
      </c>
      <c r="C58" s="67" t="s">
        <v>50</v>
      </c>
      <c r="D58" s="29" t="str">
        <f t="shared" si="0"/>
        <v xml:space="preserve"> 주차사업-주차장관리</v>
      </c>
      <c r="E58" s="55">
        <v>535763000</v>
      </c>
      <c r="F58" s="55">
        <v>60830000</v>
      </c>
      <c r="G58" s="77">
        <f t="shared" si="1"/>
        <v>596593000</v>
      </c>
      <c r="H58" s="81">
        <v>442991700</v>
      </c>
      <c r="I58" s="77">
        <f t="shared" si="2"/>
        <v>153601300</v>
      </c>
      <c r="J58" s="27">
        <f t="shared" si="3"/>
        <v>0.25746413383998806</v>
      </c>
      <c r="K58" s="63"/>
      <c r="L58" s="20"/>
      <c r="M58" s="21"/>
      <c r="N58" s="36"/>
    </row>
    <row r="59" spans="1:14" s="35" customFormat="1">
      <c r="A59" s="16">
        <v>54</v>
      </c>
      <c r="B59" s="52" t="s">
        <v>37</v>
      </c>
      <c r="C59" s="50" t="s">
        <v>39</v>
      </c>
      <c r="D59" s="29" t="str">
        <f t="shared" si="0"/>
        <v xml:space="preserve"> 도봉견인보관소-기본경비</v>
      </c>
      <c r="E59" s="55">
        <v>11943000</v>
      </c>
      <c r="F59" s="55">
        <v>0</v>
      </c>
      <c r="G59" s="77">
        <f t="shared" si="1"/>
        <v>11943000</v>
      </c>
      <c r="H59" s="81">
        <v>6162380</v>
      </c>
      <c r="I59" s="77">
        <f t="shared" si="2"/>
        <v>5780620</v>
      </c>
      <c r="J59" s="27">
        <f t="shared" si="3"/>
        <v>0.48401741605961651</v>
      </c>
      <c r="K59" s="19"/>
      <c r="L59" s="20"/>
      <c r="M59" s="21"/>
      <c r="N59" s="36"/>
    </row>
    <row r="60" spans="1:14" s="20" customFormat="1" ht="17.25" thickBot="1">
      <c r="A60" s="68">
        <v>55</v>
      </c>
      <c r="B60" s="69" t="s">
        <v>37</v>
      </c>
      <c r="C60" s="70" t="s">
        <v>52</v>
      </c>
      <c r="D60" s="71" t="str">
        <f t="shared" si="0"/>
        <v xml:space="preserve"> 도봉견인보관소-견인보관소및통합상황실운영</v>
      </c>
      <c r="E60" s="72">
        <v>18394000</v>
      </c>
      <c r="F60" s="72">
        <v>0</v>
      </c>
      <c r="G60" s="78">
        <f t="shared" si="1"/>
        <v>18394000</v>
      </c>
      <c r="H60" s="82">
        <v>9601720</v>
      </c>
      <c r="I60" s="78">
        <f t="shared" si="2"/>
        <v>8792280</v>
      </c>
      <c r="J60" s="73">
        <f t="shared" si="3"/>
        <v>0.47799717299119276</v>
      </c>
      <c r="K60" s="74"/>
      <c r="M60" s="21"/>
      <c r="N60" s="22"/>
    </row>
    <row r="61" spans="1:14" ht="17.25" thickTop="1">
      <c r="E61" s="30">
        <v>26653396000</v>
      </c>
      <c r="F61" s="47">
        <v>558285000</v>
      </c>
      <c r="G61" s="3">
        <v>27211681000</v>
      </c>
      <c r="H61" s="3">
        <v>18002860115</v>
      </c>
      <c r="I61" s="3">
        <f t="shared" si="2"/>
        <v>9208820885</v>
      </c>
    </row>
    <row r="62" spans="1:14">
      <c r="D62" t="s">
        <v>65</v>
      </c>
      <c r="E62" s="31" t="e">
        <f>E61-#REF!=0</f>
        <v>#REF!</v>
      </c>
      <c r="F62" s="31" t="e">
        <f>F61-#REF!=0</f>
        <v>#REF!</v>
      </c>
      <c r="G62" s="31" t="e">
        <f>G61-#REF!=0</f>
        <v>#REF!</v>
      </c>
      <c r="H62" s="31" t="e">
        <f>H61-#REF!=0</f>
        <v>#REF!</v>
      </c>
      <c r="I62" s="31" t="e">
        <f>I61-#REF!=0</f>
        <v>#REF!</v>
      </c>
    </row>
    <row r="63" spans="1:14">
      <c r="D63" s="83" t="s">
        <v>63</v>
      </c>
      <c r="E63" s="84" t="e">
        <f>E61-E64</f>
        <v>#REF!</v>
      </c>
      <c r="F63" s="84" t="e">
        <f>F61-F64</f>
        <v>#REF!</v>
      </c>
      <c r="G63" s="84" t="e">
        <f>G61-G64</f>
        <v>#REF!</v>
      </c>
      <c r="H63" s="84" t="e">
        <f>H61-H64</f>
        <v>#REF!</v>
      </c>
      <c r="I63" s="84" t="e">
        <f>I61-I64</f>
        <v>#REF!</v>
      </c>
      <c r="J63" s="27" t="e">
        <f t="shared" ref="J63" si="4">I63/G63</f>
        <v>#REF!</v>
      </c>
    </row>
    <row r="64" spans="1:14">
      <c r="D64" s="83" t="s">
        <v>64</v>
      </c>
      <c r="E64" s="84" t="e">
        <f>SUM(#REF!+#REF!)</f>
        <v>#REF!</v>
      </c>
      <c r="F64" s="84" t="e">
        <f>SUM(#REF!+#REF!)</f>
        <v>#REF!</v>
      </c>
      <c r="G64" s="84" t="e">
        <f>SUM(#REF!+#REF!)</f>
        <v>#REF!</v>
      </c>
      <c r="H64" s="84" t="e">
        <f>SUM(#REF!+#REF!)</f>
        <v>#REF!</v>
      </c>
      <c r="I64" s="84" t="e">
        <f>SUM(#REF!+#REF!)</f>
        <v>#REF!</v>
      </c>
      <c r="J64" s="27" t="e">
        <f t="shared" ref="J64" si="5">I64/G64</f>
        <v>#REF!</v>
      </c>
    </row>
  </sheetData>
  <autoFilter ref="A4:K60"/>
  <mergeCells count="5">
    <mergeCell ref="A4:A5"/>
    <mergeCell ref="B4:B5"/>
    <mergeCell ref="C4:C5"/>
    <mergeCell ref="D4:D5"/>
    <mergeCell ref="K4:K5"/>
  </mergeCells>
  <phoneticPr fontId="6" type="noConversion"/>
  <conditionalFormatting sqref="J6:J89">
    <cfRule type="cellIs" dxfId="1" priority="1" operator="greaterThan">
      <formula>0.05</formula>
    </cfRule>
  </conditionalFormatting>
  <pageMargins left="0.31496062992125984" right="0.31496062992125984" top="0.55118110236220474" bottom="0.55118110236220474" header="0" footer="0"/>
  <pageSetup paperSize="9" scale="55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10월 집행액 기준</vt:lpstr>
      <vt:lpstr>12월 예상집행액</vt:lpstr>
      <vt:lpstr>'10월 집행액 기준'!Print_Area</vt:lpstr>
      <vt:lpstr>'12월 예상집행액'!Print_Area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2026-10-22T23:49:19Z</cp:lastPrinted>
  <dcterms:created xsi:type="dcterms:W3CDTF">2024-10-18T05:54:46Z</dcterms:created>
  <dcterms:modified xsi:type="dcterms:W3CDTF">2026-10-26T00:49:40Z</dcterms:modified>
</cp:coreProperties>
</file>